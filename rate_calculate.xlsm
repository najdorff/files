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zan.eryavuz\Downloads\"/>
    </mc:Choice>
  </mc:AlternateContent>
  <xr:revisionPtr revIDLastSave="0" documentId="13_ncr:1_{EFEB02C4-163E-43CC-A15F-8F1E3B8F5E9A}" xr6:coauthVersionLast="47" xr6:coauthVersionMax="47" xr10:uidLastSave="{00000000-0000-0000-0000-000000000000}"/>
  <bookViews>
    <workbookView xWindow="-108" yWindow="-108" windowWidth="23256" windowHeight="12576" xr2:uid="{1A3220BC-149A-4AE8-B4E5-6A917567EC42}"/>
  </bookViews>
  <sheets>
    <sheet name="rates" sheetId="1" r:id="rId1"/>
    <sheet name="dates" sheetId="3" r:id="rId2"/>
  </sheets>
  <calcPr calcId="191029" iterateCount="200" iterateDelta="9.9999999999999995E-7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1" l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38" i="1"/>
  <c r="U37" i="1"/>
  <c r="U36" i="1"/>
  <c r="U35" i="1"/>
  <c r="U30" i="1"/>
  <c r="U29" i="1"/>
  <c r="B50" i="1"/>
  <c r="B49" i="1"/>
  <c r="B48" i="1"/>
  <c r="B47" i="1"/>
  <c r="B44" i="1"/>
  <c r="B43" i="1"/>
  <c r="B42" i="1"/>
  <c r="B41" i="1"/>
  <c r="U55" i="1"/>
  <c r="U21" i="1"/>
  <c r="U18" i="1" s="1"/>
  <c r="U20" i="1" s="1"/>
  <c r="U15" i="1"/>
  <c r="T55" i="1"/>
  <c r="S55" i="1"/>
  <c r="R55" i="1"/>
  <c r="Q55" i="1"/>
  <c r="P55" i="1"/>
  <c r="O55" i="1"/>
  <c r="N55" i="1"/>
  <c r="M55" i="1"/>
  <c r="L55" i="1"/>
  <c r="T21" i="1"/>
  <c r="S21" i="1"/>
  <c r="R21" i="1"/>
  <c r="Q21" i="1"/>
  <c r="P21" i="1"/>
  <c r="O21" i="1"/>
  <c r="O18" i="1" s="1"/>
  <c r="N21" i="1"/>
  <c r="N18" i="1" s="1"/>
  <c r="M21" i="1"/>
  <c r="M18" i="1" s="1"/>
  <c r="L21" i="1"/>
  <c r="T15" i="1"/>
  <c r="S15" i="1"/>
  <c r="R15" i="1"/>
  <c r="Q15" i="1"/>
  <c r="P15" i="1"/>
  <c r="O15" i="1"/>
  <c r="N15" i="1"/>
  <c r="M15" i="1"/>
  <c r="L15" i="1"/>
  <c r="K55" i="1"/>
  <c r="K21" i="1"/>
  <c r="K15" i="1"/>
  <c r="J55" i="1"/>
  <c r="J21" i="1"/>
  <c r="J18" i="1" s="1"/>
  <c r="J15" i="1"/>
  <c r="I55" i="1"/>
  <c r="I21" i="1"/>
  <c r="I15" i="1"/>
  <c r="H55" i="1"/>
  <c r="H21" i="1"/>
  <c r="H15" i="1"/>
  <c r="G55" i="1"/>
  <c r="G21" i="1"/>
  <c r="G18" i="1" s="1"/>
  <c r="G15" i="1"/>
  <c r="F55" i="1"/>
  <c r="F21" i="1"/>
  <c r="F18" i="1" s="1"/>
  <c r="F15" i="1"/>
  <c r="E55" i="1"/>
  <c r="E21" i="1"/>
  <c r="E18" i="1" s="1"/>
  <c r="E15" i="1"/>
  <c r="D55" i="1"/>
  <c r="D21" i="1"/>
  <c r="D18" i="1" s="1"/>
  <c r="D15" i="1"/>
  <c r="A372" i="1"/>
  <c r="A373" i="1" s="1"/>
  <c r="B371" i="1"/>
  <c r="B370" i="1"/>
  <c r="A309" i="1"/>
  <c r="A310" i="1" s="1"/>
  <c r="B308" i="1"/>
  <c r="B307" i="1"/>
  <c r="A246" i="1"/>
  <c r="B245" i="1"/>
  <c r="B244" i="1"/>
  <c r="A183" i="1"/>
  <c r="B183" i="1" s="1"/>
  <c r="B182" i="1"/>
  <c r="B181" i="1"/>
  <c r="A120" i="1"/>
  <c r="B119" i="1"/>
  <c r="B118" i="1"/>
  <c r="B56" i="1"/>
  <c r="B55" i="1"/>
  <c r="B4" i="3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3" i="3"/>
  <c r="C21" i="1"/>
  <c r="C18" i="1" s="1"/>
  <c r="A57" i="1"/>
  <c r="C55" i="1"/>
  <c r="U47" i="1" l="1"/>
  <c r="U49" i="1"/>
  <c r="U48" i="1"/>
  <c r="U50" i="1"/>
  <c r="U41" i="1"/>
  <c r="U42" i="1"/>
  <c r="U43" i="1"/>
  <c r="U31" i="1"/>
  <c r="U32" i="1" s="1"/>
  <c r="U44" i="1"/>
  <c r="K18" i="1"/>
  <c r="K370" i="1" s="1"/>
  <c r="I18" i="1"/>
  <c r="I20" i="1" s="1"/>
  <c r="L18" i="1"/>
  <c r="L370" i="1" s="1"/>
  <c r="P18" i="1"/>
  <c r="P370" i="1" s="1"/>
  <c r="R18" i="1"/>
  <c r="R370" i="1" s="1"/>
  <c r="S18" i="1"/>
  <c r="S20" i="1" s="1"/>
  <c r="Q18" i="1"/>
  <c r="Q20" i="1" s="1"/>
  <c r="T18" i="1"/>
  <c r="T20" i="1" s="1"/>
  <c r="H18" i="1"/>
  <c r="H20" i="1" s="1"/>
  <c r="M20" i="1"/>
  <c r="E20" i="1"/>
  <c r="N20" i="1"/>
  <c r="O20" i="1"/>
  <c r="F19" i="1"/>
  <c r="G20" i="1"/>
  <c r="U370" i="1"/>
  <c r="U19" i="1"/>
  <c r="M19" i="1"/>
  <c r="N19" i="1"/>
  <c r="O19" i="1"/>
  <c r="O370" i="1"/>
  <c r="M370" i="1"/>
  <c r="N370" i="1"/>
  <c r="G370" i="1"/>
  <c r="F370" i="1"/>
  <c r="J20" i="1"/>
  <c r="J19" i="1"/>
  <c r="J370" i="1"/>
  <c r="G19" i="1"/>
  <c r="F20" i="1"/>
  <c r="E370" i="1"/>
  <c r="E19" i="1"/>
  <c r="D370" i="1"/>
  <c r="D20" i="1"/>
  <c r="D19" i="1"/>
  <c r="A374" i="1"/>
  <c r="B373" i="1"/>
  <c r="B372" i="1"/>
  <c r="A311" i="1"/>
  <c r="B310" i="1"/>
  <c r="B309" i="1"/>
  <c r="B246" i="1"/>
  <c r="A247" i="1"/>
  <c r="A184" i="1"/>
  <c r="B120" i="1"/>
  <c r="A121" i="1"/>
  <c r="A58" i="1"/>
  <c r="B57" i="1"/>
  <c r="C19" i="1"/>
  <c r="C20" i="1"/>
  <c r="C370" i="1"/>
  <c r="L19" i="1" l="1"/>
  <c r="I370" i="1"/>
  <c r="H370" i="1"/>
  <c r="S19" i="1"/>
  <c r="Q19" i="1"/>
  <c r="R19" i="1"/>
  <c r="P19" i="1"/>
  <c r="K20" i="1"/>
  <c r="K19" i="1"/>
  <c r="S370" i="1"/>
  <c r="T370" i="1"/>
  <c r="T19" i="1"/>
  <c r="H19" i="1"/>
  <c r="P20" i="1"/>
  <c r="Q370" i="1"/>
  <c r="R20" i="1"/>
  <c r="I19" i="1"/>
  <c r="L20" i="1"/>
  <c r="A375" i="1"/>
  <c r="B374" i="1"/>
  <c r="A312" i="1"/>
  <c r="B311" i="1"/>
  <c r="B247" i="1"/>
  <c r="A248" i="1"/>
  <c r="B184" i="1"/>
  <c r="A185" i="1"/>
  <c r="A122" i="1"/>
  <c r="B121" i="1"/>
  <c r="A59" i="1"/>
  <c r="B58" i="1"/>
  <c r="L248" i="1" l="1"/>
  <c r="L374" i="1"/>
  <c r="L185" i="1"/>
  <c r="L311" i="1"/>
  <c r="L122" i="1"/>
  <c r="L59" i="1"/>
  <c r="A376" i="1"/>
  <c r="B375" i="1"/>
  <c r="A313" i="1"/>
  <c r="B312" i="1"/>
  <c r="B248" i="1"/>
  <c r="A249" i="1"/>
  <c r="A186" i="1"/>
  <c r="B185" i="1"/>
  <c r="B122" i="1"/>
  <c r="A123" i="1"/>
  <c r="A60" i="1"/>
  <c r="B59" i="1"/>
  <c r="L249" i="1" l="1"/>
  <c r="L375" i="1"/>
  <c r="L186" i="1"/>
  <c r="L312" i="1"/>
  <c r="L123" i="1"/>
  <c r="L60" i="1"/>
  <c r="L373" i="1"/>
  <c r="A377" i="1"/>
  <c r="B376" i="1"/>
  <c r="A314" i="1"/>
  <c r="B313" i="1"/>
  <c r="A250" i="1"/>
  <c r="B249" i="1"/>
  <c r="A187" i="1"/>
  <c r="B186" i="1"/>
  <c r="A124" i="1"/>
  <c r="B123" i="1"/>
  <c r="A61" i="1"/>
  <c r="B60" i="1"/>
  <c r="L250" i="1" l="1"/>
  <c r="L376" i="1"/>
  <c r="L187" i="1"/>
  <c r="L313" i="1"/>
  <c r="L124" i="1"/>
  <c r="L61" i="1"/>
  <c r="A378" i="1"/>
  <c r="B377" i="1"/>
  <c r="B314" i="1"/>
  <c r="A315" i="1"/>
  <c r="A251" i="1"/>
  <c r="B250" i="1"/>
  <c r="A188" i="1"/>
  <c r="B187" i="1"/>
  <c r="A125" i="1"/>
  <c r="B124" i="1"/>
  <c r="A62" i="1"/>
  <c r="B61" i="1"/>
  <c r="M251" i="1" l="1"/>
  <c r="L251" i="1"/>
  <c r="M377" i="1"/>
  <c r="L377" i="1"/>
  <c r="M188" i="1"/>
  <c r="L188" i="1"/>
  <c r="M314" i="1"/>
  <c r="M125" i="1"/>
  <c r="L125" i="1"/>
  <c r="L314" i="1"/>
  <c r="L62" i="1"/>
  <c r="M62" i="1"/>
  <c r="D251" i="1"/>
  <c r="D62" i="1"/>
  <c r="D314" i="1"/>
  <c r="C314" i="1"/>
  <c r="D377" i="1"/>
  <c r="C377" i="1"/>
  <c r="D125" i="1"/>
  <c r="D188" i="1"/>
  <c r="A379" i="1"/>
  <c r="B378" i="1"/>
  <c r="B315" i="1"/>
  <c r="A316" i="1"/>
  <c r="B251" i="1"/>
  <c r="A252" i="1"/>
  <c r="B188" i="1"/>
  <c r="A189" i="1"/>
  <c r="B125" i="1"/>
  <c r="A126" i="1"/>
  <c r="A63" i="1"/>
  <c r="C251" i="1"/>
  <c r="C62" i="1"/>
  <c r="B62" i="1"/>
  <c r="C125" i="1"/>
  <c r="C188" i="1"/>
  <c r="C376" i="1" s="1"/>
  <c r="M376" i="1" l="1"/>
  <c r="M252" i="1"/>
  <c r="M378" i="1"/>
  <c r="L378" i="1"/>
  <c r="M189" i="1"/>
  <c r="L189" i="1"/>
  <c r="M315" i="1"/>
  <c r="L315" i="1"/>
  <c r="M126" i="1"/>
  <c r="L126" i="1"/>
  <c r="M63" i="1"/>
  <c r="L63" i="1"/>
  <c r="L252" i="1"/>
  <c r="D376" i="1"/>
  <c r="C378" i="1"/>
  <c r="D378" i="1"/>
  <c r="D252" i="1"/>
  <c r="D315" i="1"/>
  <c r="D63" i="1"/>
  <c r="D126" i="1"/>
  <c r="C315" i="1"/>
  <c r="D189" i="1"/>
  <c r="A380" i="1"/>
  <c r="B379" i="1"/>
  <c r="A317" i="1"/>
  <c r="B316" i="1"/>
  <c r="A253" i="1"/>
  <c r="B252" i="1"/>
  <c r="A190" i="1"/>
  <c r="B189" i="1"/>
  <c r="A127" i="1"/>
  <c r="B126" i="1"/>
  <c r="A64" i="1"/>
  <c r="C126" i="1"/>
  <c r="C63" i="1"/>
  <c r="C189" i="1"/>
  <c r="C252" i="1"/>
  <c r="B63" i="1"/>
  <c r="C185" i="1"/>
  <c r="C248" i="1"/>
  <c r="M379" i="1" l="1"/>
  <c r="L379" i="1"/>
  <c r="M316" i="1"/>
  <c r="L316" i="1"/>
  <c r="M127" i="1"/>
  <c r="L127" i="1"/>
  <c r="M190" i="1"/>
  <c r="L190" i="1"/>
  <c r="M64" i="1"/>
  <c r="L64" i="1"/>
  <c r="M253" i="1"/>
  <c r="L253" i="1"/>
  <c r="C379" i="1"/>
  <c r="D379" i="1"/>
  <c r="D190" i="1"/>
  <c r="D64" i="1"/>
  <c r="D316" i="1"/>
  <c r="D127" i="1"/>
  <c r="D253" i="1"/>
  <c r="C316" i="1"/>
  <c r="C311" i="1"/>
  <c r="C59" i="1" s="1"/>
  <c r="C123" i="1" s="1"/>
  <c r="A381" i="1"/>
  <c r="B380" i="1"/>
  <c r="B317" i="1"/>
  <c r="A318" i="1"/>
  <c r="A254" i="1"/>
  <c r="B253" i="1"/>
  <c r="B190" i="1"/>
  <c r="A191" i="1"/>
  <c r="A128" i="1"/>
  <c r="B127" i="1"/>
  <c r="A65" i="1"/>
  <c r="C64" i="1"/>
  <c r="C253" i="1"/>
  <c r="C190" i="1"/>
  <c r="C127" i="1"/>
  <c r="B64" i="1"/>
  <c r="M380" i="1" l="1"/>
  <c r="L380" i="1"/>
  <c r="N380" i="1"/>
  <c r="N317" i="1"/>
  <c r="M317" i="1"/>
  <c r="N128" i="1"/>
  <c r="L317" i="1"/>
  <c r="M128" i="1"/>
  <c r="L128" i="1"/>
  <c r="N254" i="1"/>
  <c r="N65" i="1"/>
  <c r="M65" i="1"/>
  <c r="L65" i="1"/>
  <c r="M254" i="1"/>
  <c r="L254" i="1"/>
  <c r="N191" i="1"/>
  <c r="N379" i="1" s="1"/>
  <c r="M191" i="1"/>
  <c r="L191" i="1"/>
  <c r="C380" i="1"/>
  <c r="E317" i="1"/>
  <c r="D380" i="1"/>
  <c r="E380" i="1"/>
  <c r="D65" i="1"/>
  <c r="D317" i="1"/>
  <c r="D128" i="1"/>
  <c r="E191" i="1"/>
  <c r="E65" i="1"/>
  <c r="D254" i="1"/>
  <c r="E128" i="1"/>
  <c r="E254" i="1"/>
  <c r="C317" i="1"/>
  <c r="D191" i="1"/>
  <c r="C249" i="1"/>
  <c r="C186" i="1"/>
  <c r="C374" i="1" s="1"/>
  <c r="A382" i="1"/>
  <c r="B381" i="1"/>
  <c r="A319" i="1"/>
  <c r="B318" i="1"/>
  <c r="B254" i="1"/>
  <c r="A255" i="1"/>
  <c r="B191" i="1"/>
  <c r="A192" i="1"/>
  <c r="B128" i="1"/>
  <c r="A129" i="1"/>
  <c r="A66" i="1"/>
  <c r="C65" i="1"/>
  <c r="C128" i="1"/>
  <c r="C191" i="1"/>
  <c r="C254" i="1"/>
  <c r="B65" i="1"/>
  <c r="L381" i="1" l="1"/>
  <c r="O318" i="1"/>
  <c r="N318" i="1"/>
  <c r="M318" i="1"/>
  <c r="L318" i="1"/>
  <c r="M129" i="1"/>
  <c r="L129" i="1"/>
  <c r="O255" i="1"/>
  <c r="N255" i="1"/>
  <c r="M255" i="1"/>
  <c r="L255" i="1"/>
  <c r="O129" i="1"/>
  <c r="M66" i="1"/>
  <c r="N129" i="1"/>
  <c r="L66" i="1"/>
  <c r="O381" i="1"/>
  <c r="M381" i="1"/>
  <c r="O66" i="1"/>
  <c r="N381" i="1"/>
  <c r="O192" i="1"/>
  <c r="O380" i="1" s="1"/>
  <c r="N66" i="1"/>
  <c r="N192" i="1"/>
  <c r="M192" i="1"/>
  <c r="L192" i="1"/>
  <c r="E379" i="1"/>
  <c r="F318" i="1"/>
  <c r="F129" i="1"/>
  <c r="D255" i="1"/>
  <c r="E318" i="1"/>
  <c r="F192" i="1"/>
  <c r="F66" i="1"/>
  <c r="D318" i="1"/>
  <c r="F255" i="1"/>
  <c r="E66" i="1"/>
  <c r="E192" i="1"/>
  <c r="F381" i="1"/>
  <c r="D129" i="1"/>
  <c r="E129" i="1"/>
  <c r="D66" i="1"/>
  <c r="C381" i="1"/>
  <c r="E255" i="1"/>
  <c r="D381" i="1"/>
  <c r="D192" i="1"/>
  <c r="E381" i="1"/>
  <c r="C318" i="1"/>
  <c r="C312" i="1"/>
  <c r="C60" i="1" s="1"/>
  <c r="C124" i="1" s="1"/>
  <c r="C187" i="1" s="1"/>
  <c r="A383" i="1"/>
  <c r="B382" i="1"/>
  <c r="A320" i="1"/>
  <c r="B319" i="1"/>
  <c r="A256" i="1"/>
  <c r="B255" i="1"/>
  <c r="A193" i="1"/>
  <c r="B192" i="1"/>
  <c r="B129" i="1"/>
  <c r="A130" i="1"/>
  <c r="A67" i="1"/>
  <c r="C192" i="1"/>
  <c r="C255" i="1"/>
  <c r="C66" i="1"/>
  <c r="C129" i="1"/>
  <c r="B66" i="1"/>
  <c r="O319" i="1" l="1"/>
  <c r="M319" i="1"/>
  <c r="L319" i="1"/>
  <c r="O256" i="1"/>
  <c r="N319" i="1"/>
  <c r="N256" i="1"/>
  <c r="M256" i="1"/>
  <c r="L256" i="1"/>
  <c r="O193" i="1"/>
  <c r="N193" i="1"/>
  <c r="M193" i="1"/>
  <c r="L193" i="1"/>
  <c r="N130" i="1"/>
  <c r="L67" i="1"/>
  <c r="N382" i="1"/>
  <c r="M382" i="1"/>
  <c r="O130" i="1"/>
  <c r="L382" i="1"/>
  <c r="M130" i="1"/>
  <c r="L130" i="1"/>
  <c r="O382" i="1"/>
  <c r="N67" i="1"/>
  <c r="O67" i="1"/>
  <c r="M67" i="1"/>
  <c r="F380" i="1"/>
  <c r="E382" i="1"/>
  <c r="F130" i="1"/>
  <c r="F256" i="1"/>
  <c r="E319" i="1"/>
  <c r="E193" i="1"/>
  <c r="F382" i="1"/>
  <c r="F67" i="1"/>
  <c r="F193" i="1"/>
  <c r="D193" i="1"/>
  <c r="D67" i="1"/>
  <c r="D319" i="1"/>
  <c r="E67" i="1"/>
  <c r="D130" i="1"/>
  <c r="E256" i="1"/>
  <c r="F319" i="1"/>
  <c r="E130" i="1"/>
  <c r="D256" i="1"/>
  <c r="C382" i="1"/>
  <c r="C319" i="1"/>
  <c r="D382" i="1"/>
  <c r="C250" i="1"/>
  <c r="C375" i="1" s="1"/>
  <c r="C313" i="1"/>
  <c r="C61" i="1" s="1"/>
  <c r="B383" i="1"/>
  <c r="A384" i="1"/>
  <c r="A321" i="1"/>
  <c r="B320" i="1"/>
  <c r="A257" i="1"/>
  <c r="B256" i="1"/>
  <c r="A194" i="1"/>
  <c r="B193" i="1"/>
  <c r="A131" i="1"/>
  <c r="B130" i="1"/>
  <c r="A68" i="1"/>
  <c r="C193" i="1"/>
  <c r="C67" i="1"/>
  <c r="C130" i="1"/>
  <c r="C256" i="1"/>
  <c r="B67" i="1"/>
  <c r="P257" i="1" l="1"/>
  <c r="O257" i="1"/>
  <c r="N257" i="1"/>
  <c r="M257" i="1"/>
  <c r="L257" i="1"/>
  <c r="P194" i="1"/>
  <c r="P382" i="1" s="1"/>
  <c r="O194" i="1"/>
  <c r="N194" i="1"/>
  <c r="M194" i="1"/>
  <c r="L194" i="1"/>
  <c r="P383" i="1"/>
  <c r="N320" i="1"/>
  <c r="M320" i="1"/>
  <c r="L320" i="1"/>
  <c r="O383" i="1"/>
  <c r="N383" i="1"/>
  <c r="O68" i="1"/>
  <c r="M383" i="1"/>
  <c r="P131" i="1"/>
  <c r="N68" i="1"/>
  <c r="L383" i="1"/>
  <c r="O131" i="1"/>
  <c r="M68" i="1"/>
  <c r="P320" i="1"/>
  <c r="N131" i="1"/>
  <c r="O320" i="1"/>
  <c r="M131" i="1"/>
  <c r="L131" i="1"/>
  <c r="P68" i="1"/>
  <c r="L68" i="1"/>
  <c r="F131" i="1"/>
  <c r="G194" i="1"/>
  <c r="G383" i="1"/>
  <c r="D383" i="1"/>
  <c r="G320" i="1"/>
  <c r="E320" i="1"/>
  <c r="G257" i="1"/>
  <c r="F257" i="1"/>
  <c r="E194" i="1"/>
  <c r="G131" i="1"/>
  <c r="G68" i="1"/>
  <c r="F383" i="1"/>
  <c r="F320" i="1"/>
  <c r="F68" i="1"/>
  <c r="F194" i="1"/>
  <c r="D68" i="1"/>
  <c r="D194" i="1"/>
  <c r="E68" i="1"/>
  <c r="D131" i="1"/>
  <c r="E257" i="1"/>
  <c r="E383" i="1"/>
  <c r="C320" i="1"/>
  <c r="E131" i="1"/>
  <c r="D320" i="1"/>
  <c r="D257" i="1"/>
  <c r="C383" i="1"/>
  <c r="A385" i="1"/>
  <c r="B384" i="1"/>
  <c r="A322" i="1"/>
  <c r="B321" i="1"/>
  <c r="A258" i="1"/>
  <c r="B257" i="1"/>
  <c r="A195" i="1"/>
  <c r="B194" i="1"/>
  <c r="B131" i="1"/>
  <c r="A132" i="1"/>
  <c r="A69" i="1"/>
  <c r="C194" i="1"/>
  <c r="C257" i="1"/>
  <c r="C68" i="1"/>
  <c r="C131" i="1"/>
  <c r="B68" i="1"/>
  <c r="M258" i="1" l="1"/>
  <c r="P384" i="1"/>
  <c r="O384" i="1"/>
  <c r="N384" i="1"/>
  <c r="M384" i="1"/>
  <c r="L384" i="1"/>
  <c r="L258" i="1"/>
  <c r="M195" i="1"/>
  <c r="L195" i="1"/>
  <c r="P132" i="1"/>
  <c r="O132" i="1"/>
  <c r="N132" i="1"/>
  <c r="M132" i="1"/>
  <c r="L132" i="1"/>
  <c r="N69" i="1"/>
  <c r="P258" i="1"/>
  <c r="O258" i="1"/>
  <c r="P69" i="1"/>
  <c r="N258" i="1"/>
  <c r="O69" i="1"/>
  <c r="M69" i="1"/>
  <c r="P195" i="1"/>
  <c r="L69" i="1"/>
  <c r="N195" i="1"/>
  <c r="L321" i="1"/>
  <c r="M321" i="1"/>
  <c r="N321" i="1"/>
  <c r="O195" i="1"/>
  <c r="P321" i="1"/>
  <c r="O321" i="1"/>
  <c r="G382" i="1"/>
  <c r="G195" i="1"/>
  <c r="G384" i="1"/>
  <c r="D69" i="1"/>
  <c r="E195" i="1"/>
  <c r="G132" i="1"/>
  <c r="G69" i="1"/>
  <c r="F384" i="1"/>
  <c r="F321" i="1"/>
  <c r="D321" i="1"/>
  <c r="F258" i="1"/>
  <c r="F195" i="1"/>
  <c r="E384" i="1"/>
  <c r="C321" i="1"/>
  <c r="G321" i="1"/>
  <c r="D195" i="1"/>
  <c r="G258" i="1"/>
  <c r="F132" i="1"/>
  <c r="E69" i="1"/>
  <c r="D132" i="1"/>
  <c r="F69" i="1"/>
  <c r="E321" i="1"/>
  <c r="E258" i="1"/>
  <c r="D384" i="1"/>
  <c r="E132" i="1"/>
  <c r="C384" i="1"/>
  <c r="D258" i="1"/>
  <c r="A386" i="1"/>
  <c r="B385" i="1"/>
  <c r="A323" i="1"/>
  <c r="B322" i="1"/>
  <c r="B258" i="1"/>
  <c r="A259" i="1"/>
  <c r="B195" i="1"/>
  <c r="A196" i="1"/>
  <c r="A133" i="1"/>
  <c r="B132" i="1"/>
  <c r="A70" i="1"/>
  <c r="C69" i="1"/>
  <c r="C132" i="1"/>
  <c r="C195" i="1"/>
  <c r="C258" i="1"/>
  <c r="B69" i="1"/>
  <c r="N385" i="1" l="1"/>
  <c r="L385" i="1"/>
  <c r="P322" i="1"/>
  <c r="O322" i="1"/>
  <c r="N322" i="1"/>
  <c r="O133" i="1"/>
  <c r="N133" i="1"/>
  <c r="M133" i="1"/>
  <c r="L133" i="1"/>
  <c r="P385" i="1"/>
  <c r="O385" i="1"/>
  <c r="M385" i="1"/>
  <c r="M322" i="1"/>
  <c r="N259" i="1"/>
  <c r="O70" i="1"/>
  <c r="M259" i="1"/>
  <c r="N70" i="1"/>
  <c r="L259" i="1"/>
  <c r="M70" i="1"/>
  <c r="M196" i="1"/>
  <c r="P196" i="1"/>
  <c r="L70" i="1"/>
  <c r="O196" i="1"/>
  <c r="N196" i="1"/>
  <c r="L196" i="1"/>
  <c r="P133" i="1"/>
  <c r="L322" i="1"/>
  <c r="P259" i="1"/>
  <c r="P70" i="1"/>
  <c r="O259" i="1"/>
  <c r="G196" i="1"/>
  <c r="G385" i="1"/>
  <c r="G259" i="1"/>
  <c r="F259" i="1"/>
  <c r="E385" i="1"/>
  <c r="E133" i="1"/>
  <c r="E196" i="1"/>
  <c r="G133" i="1"/>
  <c r="G70" i="1"/>
  <c r="F385" i="1"/>
  <c r="F322" i="1"/>
  <c r="F196" i="1"/>
  <c r="F133" i="1"/>
  <c r="F70" i="1"/>
  <c r="G322" i="1"/>
  <c r="C385" i="1"/>
  <c r="D196" i="1"/>
  <c r="C322" i="1"/>
  <c r="D385" i="1"/>
  <c r="D70" i="1"/>
  <c r="D322" i="1"/>
  <c r="E70" i="1"/>
  <c r="D133" i="1"/>
  <c r="E322" i="1"/>
  <c r="E259" i="1"/>
  <c r="D259" i="1"/>
  <c r="A387" i="1"/>
  <c r="B386" i="1"/>
  <c r="A324" i="1"/>
  <c r="B323" i="1"/>
  <c r="A260" i="1"/>
  <c r="B259" i="1"/>
  <c r="B196" i="1"/>
  <c r="A197" i="1"/>
  <c r="A134" i="1"/>
  <c r="B133" i="1"/>
  <c r="A71" i="1"/>
  <c r="C70" i="1"/>
  <c r="C133" i="1"/>
  <c r="C196" i="1"/>
  <c r="C259" i="1"/>
  <c r="B70" i="1"/>
  <c r="P323" i="1" l="1"/>
  <c r="N323" i="1"/>
  <c r="M323" i="1"/>
  <c r="L323" i="1"/>
  <c r="Q260" i="1"/>
  <c r="P260" i="1"/>
  <c r="P386" i="1"/>
  <c r="O386" i="1"/>
  <c r="N386" i="1"/>
  <c r="M386" i="1"/>
  <c r="L386" i="1"/>
  <c r="Q323" i="1"/>
  <c r="Q197" i="1"/>
  <c r="Q385" i="1" s="1"/>
  <c r="O323" i="1"/>
  <c r="P197" i="1"/>
  <c r="O260" i="1"/>
  <c r="O197" i="1"/>
  <c r="N197" i="1"/>
  <c r="M197" i="1"/>
  <c r="L197" i="1"/>
  <c r="O134" i="1"/>
  <c r="Q134" i="1"/>
  <c r="P134" i="1"/>
  <c r="N134" i="1"/>
  <c r="Q386" i="1"/>
  <c r="M134" i="1"/>
  <c r="L260" i="1"/>
  <c r="M71" i="1"/>
  <c r="L134" i="1"/>
  <c r="Q71" i="1"/>
  <c r="P71" i="1"/>
  <c r="O71" i="1"/>
  <c r="M260" i="1"/>
  <c r="N260" i="1"/>
  <c r="N71" i="1"/>
  <c r="L71" i="1"/>
  <c r="G386" i="1"/>
  <c r="H260" i="1"/>
  <c r="H71" i="1"/>
  <c r="D386" i="1"/>
  <c r="E386" i="1"/>
  <c r="H197" i="1"/>
  <c r="G134" i="1"/>
  <c r="G71" i="1"/>
  <c r="F386" i="1"/>
  <c r="C323" i="1"/>
  <c r="F323" i="1"/>
  <c r="G197" i="1"/>
  <c r="F197" i="1"/>
  <c r="F260" i="1"/>
  <c r="D134" i="1"/>
  <c r="H323" i="1"/>
  <c r="D197" i="1"/>
  <c r="D71" i="1"/>
  <c r="C386" i="1"/>
  <c r="D323" i="1"/>
  <c r="G260" i="1"/>
  <c r="E260" i="1"/>
  <c r="F71" i="1"/>
  <c r="E197" i="1"/>
  <c r="E323" i="1"/>
  <c r="H134" i="1"/>
  <c r="D260" i="1"/>
  <c r="H386" i="1"/>
  <c r="F134" i="1"/>
  <c r="E71" i="1"/>
  <c r="G323" i="1"/>
  <c r="E134" i="1"/>
  <c r="A388" i="1"/>
  <c r="B387" i="1"/>
  <c r="B324" i="1"/>
  <c r="A325" i="1"/>
  <c r="B260" i="1"/>
  <c r="A261" i="1"/>
  <c r="A198" i="1"/>
  <c r="B197" i="1"/>
  <c r="A135" i="1"/>
  <c r="B134" i="1"/>
  <c r="A72" i="1"/>
  <c r="C71" i="1"/>
  <c r="C134" i="1"/>
  <c r="C260" i="1"/>
  <c r="C197" i="1"/>
  <c r="B71" i="1"/>
  <c r="Q261" i="1" l="1"/>
  <c r="O261" i="1"/>
  <c r="N261" i="1"/>
  <c r="M261" i="1"/>
  <c r="L261" i="1"/>
  <c r="Q387" i="1"/>
  <c r="P387" i="1"/>
  <c r="Q324" i="1"/>
  <c r="Q198" i="1"/>
  <c r="P324" i="1"/>
  <c r="P198" i="1"/>
  <c r="O324" i="1"/>
  <c r="O198" i="1"/>
  <c r="N324" i="1"/>
  <c r="N198" i="1"/>
  <c r="M324" i="1"/>
  <c r="M198" i="1"/>
  <c r="L324" i="1"/>
  <c r="L198" i="1"/>
  <c r="P261" i="1"/>
  <c r="Q135" i="1"/>
  <c r="P135" i="1"/>
  <c r="O135" i="1"/>
  <c r="N135" i="1"/>
  <c r="M135" i="1"/>
  <c r="L135" i="1"/>
  <c r="O387" i="1"/>
  <c r="N387" i="1"/>
  <c r="M387" i="1"/>
  <c r="L387" i="1"/>
  <c r="Q72" i="1"/>
  <c r="P72" i="1"/>
  <c r="N72" i="1"/>
  <c r="M72" i="1"/>
  <c r="L72" i="1"/>
  <c r="O72" i="1"/>
  <c r="H385" i="1"/>
  <c r="H261" i="1"/>
  <c r="H72" i="1"/>
  <c r="F198" i="1"/>
  <c r="F387" i="1"/>
  <c r="F324" i="1"/>
  <c r="E387" i="1"/>
  <c r="D324" i="1"/>
  <c r="G198" i="1"/>
  <c r="F261" i="1"/>
  <c r="E72" i="1"/>
  <c r="G261" i="1"/>
  <c r="H324" i="1"/>
  <c r="D72" i="1"/>
  <c r="C324" i="1"/>
  <c r="C387" i="1"/>
  <c r="G72" i="1"/>
  <c r="E324" i="1"/>
  <c r="H198" i="1"/>
  <c r="F72" i="1"/>
  <c r="E198" i="1"/>
  <c r="G135" i="1"/>
  <c r="D261" i="1"/>
  <c r="D135" i="1"/>
  <c r="H387" i="1"/>
  <c r="D198" i="1"/>
  <c r="E261" i="1"/>
  <c r="H135" i="1"/>
  <c r="G387" i="1"/>
  <c r="G324" i="1"/>
  <c r="F135" i="1"/>
  <c r="E135" i="1"/>
  <c r="D387" i="1"/>
  <c r="A389" i="1"/>
  <c r="B388" i="1"/>
  <c r="A326" i="1"/>
  <c r="B325" i="1"/>
  <c r="B261" i="1"/>
  <c r="A262" i="1"/>
  <c r="A199" i="1"/>
  <c r="B198" i="1"/>
  <c r="A136" i="1"/>
  <c r="B135" i="1"/>
  <c r="A73" i="1"/>
  <c r="C72" i="1"/>
  <c r="C135" i="1"/>
  <c r="C261" i="1"/>
  <c r="C198" i="1"/>
  <c r="B72" i="1"/>
  <c r="Q388" i="1" l="1"/>
  <c r="O388" i="1"/>
  <c r="N388" i="1"/>
  <c r="M388" i="1"/>
  <c r="L388" i="1"/>
  <c r="Q325" i="1"/>
  <c r="Q262" i="1"/>
  <c r="Q136" i="1"/>
  <c r="P262" i="1"/>
  <c r="P136" i="1"/>
  <c r="O262" i="1"/>
  <c r="O136" i="1"/>
  <c r="N262" i="1"/>
  <c r="N136" i="1"/>
  <c r="M262" i="1"/>
  <c r="M136" i="1"/>
  <c r="L262" i="1"/>
  <c r="L136" i="1"/>
  <c r="Q73" i="1"/>
  <c r="P73" i="1"/>
  <c r="O73" i="1"/>
  <c r="P388" i="1"/>
  <c r="N73" i="1"/>
  <c r="M73" i="1"/>
  <c r="L73" i="1"/>
  <c r="P325" i="1"/>
  <c r="O325" i="1"/>
  <c r="N325" i="1"/>
  <c r="M325" i="1"/>
  <c r="L325" i="1"/>
  <c r="N199" i="1"/>
  <c r="O199" i="1"/>
  <c r="M199" i="1"/>
  <c r="L199" i="1"/>
  <c r="Q199" i="1"/>
  <c r="P199" i="1"/>
  <c r="H73" i="1"/>
  <c r="G262" i="1"/>
  <c r="F388" i="1"/>
  <c r="H199" i="1"/>
  <c r="G199" i="1"/>
  <c r="F262" i="1"/>
  <c r="F199" i="1"/>
  <c r="C388" i="1"/>
  <c r="D388" i="1"/>
  <c r="E73" i="1"/>
  <c r="E388" i="1"/>
  <c r="H262" i="1"/>
  <c r="F136" i="1"/>
  <c r="F73" i="1"/>
  <c r="G325" i="1"/>
  <c r="C325" i="1"/>
  <c r="D325" i="1"/>
  <c r="F325" i="1"/>
  <c r="D136" i="1"/>
  <c r="E199" i="1"/>
  <c r="G136" i="1"/>
  <c r="H325" i="1"/>
  <c r="E325" i="1"/>
  <c r="D199" i="1"/>
  <c r="D73" i="1"/>
  <c r="E136" i="1"/>
  <c r="D262" i="1"/>
  <c r="H136" i="1"/>
  <c r="G388" i="1"/>
  <c r="G73" i="1"/>
  <c r="H388" i="1"/>
  <c r="E262" i="1"/>
  <c r="A390" i="1"/>
  <c r="B389" i="1"/>
  <c r="A327" i="1"/>
  <c r="B326" i="1"/>
  <c r="A263" i="1"/>
  <c r="B262" i="1"/>
  <c r="A200" i="1"/>
  <c r="B199" i="1"/>
  <c r="B136" i="1"/>
  <c r="A137" i="1"/>
  <c r="A74" i="1"/>
  <c r="C262" i="1"/>
  <c r="B73" i="1"/>
  <c r="C73" i="1"/>
  <c r="C136" i="1"/>
  <c r="C199" i="1"/>
  <c r="R326" i="1" l="1"/>
  <c r="P326" i="1"/>
  <c r="O326" i="1"/>
  <c r="N326" i="1"/>
  <c r="M326" i="1"/>
  <c r="L326" i="1"/>
  <c r="R263" i="1"/>
  <c r="L263" i="1"/>
  <c r="L137" i="1"/>
  <c r="R389" i="1"/>
  <c r="R200" i="1"/>
  <c r="R388" i="1" s="1"/>
  <c r="Q389" i="1"/>
  <c r="Q200" i="1"/>
  <c r="N389" i="1"/>
  <c r="L74" i="1"/>
  <c r="M389" i="1"/>
  <c r="L389" i="1"/>
  <c r="Q326" i="1"/>
  <c r="Q263" i="1"/>
  <c r="O200" i="1"/>
  <c r="P263" i="1"/>
  <c r="N200" i="1"/>
  <c r="O263" i="1"/>
  <c r="M200" i="1"/>
  <c r="O137" i="1"/>
  <c r="O74" i="1"/>
  <c r="N263" i="1"/>
  <c r="P389" i="1"/>
  <c r="R137" i="1"/>
  <c r="M263" i="1"/>
  <c r="O389" i="1"/>
  <c r="M74" i="1"/>
  <c r="P137" i="1"/>
  <c r="N74" i="1"/>
  <c r="P74" i="1"/>
  <c r="N137" i="1"/>
  <c r="Q74" i="1"/>
  <c r="M137" i="1"/>
  <c r="R74" i="1"/>
  <c r="P200" i="1"/>
  <c r="Q137" i="1"/>
  <c r="L200" i="1"/>
  <c r="I137" i="1"/>
  <c r="H74" i="1"/>
  <c r="F200" i="1"/>
  <c r="D389" i="1"/>
  <c r="G263" i="1"/>
  <c r="I200" i="1"/>
  <c r="H263" i="1"/>
  <c r="H200" i="1"/>
  <c r="G200" i="1"/>
  <c r="F389" i="1"/>
  <c r="F74" i="1"/>
  <c r="F263" i="1"/>
  <c r="D137" i="1"/>
  <c r="I263" i="1"/>
  <c r="E74" i="1"/>
  <c r="F137" i="1"/>
  <c r="H326" i="1"/>
  <c r="C389" i="1"/>
  <c r="I326" i="1"/>
  <c r="I389" i="1"/>
  <c r="D326" i="1"/>
  <c r="I74" i="1"/>
  <c r="F326" i="1"/>
  <c r="E263" i="1"/>
  <c r="C326" i="1"/>
  <c r="E200" i="1"/>
  <c r="E137" i="1"/>
  <c r="D200" i="1"/>
  <c r="G137" i="1"/>
  <c r="G326" i="1"/>
  <c r="E326" i="1"/>
  <c r="H137" i="1"/>
  <c r="G389" i="1"/>
  <c r="H389" i="1"/>
  <c r="D263" i="1"/>
  <c r="G74" i="1"/>
  <c r="E389" i="1"/>
  <c r="D74" i="1"/>
  <c r="B390" i="1"/>
  <c r="A391" i="1"/>
  <c r="B327" i="1"/>
  <c r="A328" i="1"/>
  <c r="A264" i="1"/>
  <c r="B263" i="1"/>
  <c r="A201" i="1"/>
  <c r="B200" i="1"/>
  <c r="A138" i="1"/>
  <c r="B137" i="1"/>
  <c r="A75" i="1"/>
  <c r="C137" i="1"/>
  <c r="C200" i="1"/>
  <c r="C74" i="1"/>
  <c r="B74" i="1"/>
  <c r="C263" i="1"/>
  <c r="R264" i="1" l="1"/>
  <c r="P264" i="1"/>
  <c r="O264" i="1"/>
  <c r="N264" i="1"/>
  <c r="M264" i="1"/>
  <c r="R390" i="1"/>
  <c r="L264" i="1"/>
  <c r="Q390" i="1"/>
  <c r="R201" i="1"/>
  <c r="Q201" i="1"/>
  <c r="P390" i="1"/>
  <c r="P201" i="1"/>
  <c r="O390" i="1"/>
  <c r="O201" i="1"/>
  <c r="N390" i="1"/>
  <c r="N201" i="1"/>
  <c r="M390" i="1"/>
  <c r="M201" i="1"/>
  <c r="L390" i="1"/>
  <c r="L201" i="1"/>
  <c r="R327" i="1"/>
  <c r="R138" i="1"/>
  <c r="Q327" i="1"/>
  <c r="Q138" i="1"/>
  <c r="P327" i="1"/>
  <c r="O327" i="1"/>
  <c r="N327" i="1"/>
  <c r="M327" i="1"/>
  <c r="L327" i="1"/>
  <c r="R75" i="1"/>
  <c r="Q75" i="1"/>
  <c r="O138" i="1"/>
  <c r="O75" i="1"/>
  <c r="N138" i="1"/>
  <c r="N75" i="1"/>
  <c r="M138" i="1"/>
  <c r="M75" i="1"/>
  <c r="Q264" i="1"/>
  <c r="P75" i="1"/>
  <c r="L75" i="1"/>
  <c r="L138" i="1"/>
  <c r="P138" i="1"/>
  <c r="I388" i="1"/>
  <c r="G264" i="1"/>
  <c r="F390" i="1"/>
  <c r="H327" i="1"/>
  <c r="C390" i="1"/>
  <c r="F75" i="1"/>
  <c r="H138" i="1"/>
  <c r="I264" i="1"/>
  <c r="G201" i="1"/>
  <c r="F201" i="1"/>
  <c r="E75" i="1"/>
  <c r="F138" i="1"/>
  <c r="H264" i="1"/>
  <c r="D327" i="1"/>
  <c r="F327" i="1"/>
  <c r="H75" i="1"/>
  <c r="E264" i="1"/>
  <c r="I327" i="1"/>
  <c r="I75" i="1"/>
  <c r="G75" i="1"/>
  <c r="E327" i="1"/>
  <c r="D390" i="1"/>
  <c r="I201" i="1"/>
  <c r="G138" i="1"/>
  <c r="E390" i="1"/>
  <c r="H390" i="1"/>
  <c r="D201" i="1"/>
  <c r="G327" i="1"/>
  <c r="E138" i="1"/>
  <c r="G390" i="1"/>
  <c r="E201" i="1"/>
  <c r="D75" i="1"/>
  <c r="D264" i="1"/>
  <c r="C327" i="1"/>
  <c r="I390" i="1"/>
  <c r="D138" i="1"/>
  <c r="F264" i="1"/>
  <c r="I138" i="1"/>
  <c r="H201" i="1"/>
  <c r="A392" i="1"/>
  <c r="B391" i="1"/>
  <c r="B328" i="1"/>
  <c r="A329" i="1"/>
  <c r="B264" i="1"/>
  <c r="A265" i="1"/>
  <c r="B201" i="1"/>
  <c r="A202" i="1"/>
  <c r="B138" i="1"/>
  <c r="A139" i="1"/>
  <c r="A76" i="1"/>
  <c r="C138" i="1"/>
  <c r="C201" i="1"/>
  <c r="C264" i="1"/>
  <c r="B75" i="1"/>
  <c r="C75" i="1"/>
  <c r="Q391" i="1" l="1"/>
  <c r="O391" i="1"/>
  <c r="N391" i="1"/>
  <c r="M391" i="1"/>
  <c r="L391" i="1"/>
  <c r="R328" i="1"/>
  <c r="Q328" i="1"/>
  <c r="R391" i="1"/>
  <c r="R139" i="1"/>
  <c r="P391" i="1"/>
  <c r="Q139" i="1"/>
  <c r="P328" i="1"/>
  <c r="P139" i="1"/>
  <c r="O328" i="1"/>
  <c r="O139" i="1"/>
  <c r="N328" i="1"/>
  <c r="N139" i="1"/>
  <c r="M328" i="1"/>
  <c r="M139" i="1"/>
  <c r="L328" i="1"/>
  <c r="L139" i="1"/>
  <c r="R265" i="1"/>
  <c r="Q265" i="1"/>
  <c r="R76" i="1"/>
  <c r="Q76" i="1"/>
  <c r="R202" i="1"/>
  <c r="P76" i="1"/>
  <c r="L76" i="1"/>
  <c r="Q202" i="1"/>
  <c r="O76" i="1"/>
  <c r="P265" i="1"/>
  <c r="P202" i="1"/>
  <c r="N76" i="1"/>
  <c r="O265" i="1"/>
  <c r="O202" i="1"/>
  <c r="M76" i="1"/>
  <c r="N265" i="1"/>
  <c r="N202" i="1"/>
  <c r="M265" i="1"/>
  <c r="M202" i="1"/>
  <c r="L265" i="1"/>
  <c r="L202" i="1"/>
  <c r="G265" i="1"/>
  <c r="F391" i="1"/>
  <c r="H328" i="1"/>
  <c r="G76" i="1"/>
  <c r="H202" i="1"/>
  <c r="G202" i="1"/>
  <c r="E202" i="1"/>
  <c r="H139" i="1"/>
  <c r="F139" i="1"/>
  <c r="H265" i="1"/>
  <c r="F76" i="1"/>
  <c r="E265" i="1"/>
  <c r="G328" i="1"/>
  <c r="F202" i="1"/>
  <c r="F328" i="1"/>
  <c r="H76" i="1"/>
  <c r="I328" i="1"/>
  <c r="I76" i="1"/>
  <c r="E328" i="1"/>
  <c r="D265" i="1"/>
  <c r="E139" i="1"/>
  <c r="C391" i="1"/>
  <c r="D391" i="1"/>
  <c r="E391" i="1"/>
  <c r="D202" i="1"/>
  <c r="I265" i="1"/>
  <c r="H391" i="1"/>
  <c r="G139" i="1"/>
  <c r="C328" i="1"/>
  <c r="D139" i="1"/>
  <c r="G391" i="1"/>
  <c r="F265" i="1"/>
  <c r="I391" i="1"/>
  <c r="D328" i="1"/>
  <c r="D76" i="1"/>
  <c r="E76" i="1"/>
  <c r="I202" i="1"/>
  <c r="I139" i="1"/>
  <c r="A393" i="1"/>
  <c r="B392" i="1"/>
  <c r="A330" i="1"/>
  <c r="B329" i="1"/>
  <c r="A266" i="1"/>
  <c r="B265" i="1"/>
  <c r="B202" i="1"/>
  <c r="A203" i="1"/>
  <c r="A140" i="1"/>
  <c r="B139" i="1"/>
  <c r="A77" i="1"/>
  <c r="C139" i="1"/>
  <c r="C76" i="1"/>
  <c r="C202" i="1"/>
  <c r="C265" i="1"/>
  <c r="B76" i="1"/>
  <c r="Q329" i="1" l="1"/>
  <c r="O329" i="1"/>
  <c r="N329" i="1"/>
  <c r="M329" i="1"/>
  <c r="L329" i="1"/>
  <c r="R266" i="1"/>
  <c r="Q266" i="1"/>
  <c r="R329" i="1"/>
  <c r="P329" i="1"/>
  <c r="P266" i="1"/>
  <c r="O266" i="1"/>
  <c r="N266" i="1"/>
  <c r="M266" i="1"/>
  <c r="L266" i="1"/>
  <c r="R203" i="1"/>
  <c r="Q203" i="1"/>
  <c r="P203" i="1"/>
  <c r="M203" i="1"/>
  <c r="L203" i="1"/>
  <c r="R140" i="1"/>
  <c r="Q140" i="1"/>
  <c r="P140" i="1"/>
  <c r="O140" i="1"/>
  <c r="N140" i="1"/>
  <c r="M140" i="1"/>
  <c r="L140" i="1"/>
  <c r="R392" i="1"/>
  <c r="Q392" i="1"/>
  <c r="L392" i="1"/>
  <c r="N77" i="1"/>
  <c r="N392" i="1"/>
  <c r="M77" i="1"/>
  <c r="N203" i="1"/>
  <c r="O392" i="1"/>
  <c r="L77" i="1"/>
  <c r="R77" i="1"/>
  <c r="M392" i="1"/>
  <c r="Q77" i="1"/>
  <c r="O203" i="1"/>
  <c r="P77" i="1"/>
  <c r="P392" i="1"/>
  <c r="O77" i="1"/>
  <c r="H329" i="1"/>
  <c r="I392" i="1"/>
  <c r="I203" i="1"/>
  <c r="H140" i="1"/>
  <c r="F77" i="1"/>
  <c r="I140" i="1"/>
  <c r="G140" i="1"/>
  <c r="F203" i="1"/>
  <c r="F140" i="1"/>
  <c r="H266" i="1"/>
  <c r="E266" i="1"/>
  <c r="G329" i="1"/>
  <c r="G266" i="1"/>
  <c r="D203" i="1"/>
  <c r="I329" i="1"/>
  <c r="I77" i="1"/>
  <c r="H392" i="1"/>
  <c r="F329" i="1"/>
  <c r="H77" i="1"/>
  <c r="E329" i="1"/>
  <c r="G77" i="1"/>
  <c r="E140" i="1"/>
  <c r="D140" i="1"/>
  <c r="C329" i="1"/>
  <c r="G203" i="1"/>
  <c r="F392" i="1"/>
  <c r="E392" i="1"/>
  <c r="I266" i="1"/>
  <c r="C392" i="1"/>
  <c r="D392" i="1"/>
  <c r="E203" i="1"/>
  <c r="D77" i="1"/>
  <c r="F266" i="1"/>
  <c r="D266" i="1"/>
  <c r="E77" i="1"/>
  <c r="H203" i="1"/>
  <c r="G392" i="1"/>
  <c r="D329" i="1"/>
  <c r="A394" i="1"/>
  <c r="B393" i="1"/>
  <c r="B330" i="1"/>
  <c r="A331" i="1"/>
  <c r="A267" i="1"/>
  <c r="B266" i="1"/>
  <c r="A204" i="1"/>
  <c r="B203" i="1"/>
  <c r="A141" i="1"/>
  <c r="B140" i="1"/>
  <c r="A78" i="1"/>
  <c r="C77" i="1"/>
  <c r="C266" i="1"/>
  <c r="C140" i="1"/>
  <c r="C203" i="1"/>
  <c r="B77" i="1"/>
  <c r="Q267" i="1" l="1"/>
  <c r="O267" i="1"/>
  <c r="N267" i="1"/>
  <c r="M267" i="1"/>
  <c r="R393" i="1"/>
  <c r="L267" i="1"/>
  <c r="Q393" i="1"/>
  <c r="P393" i="1"/>
  <c r="R267" i="1"/>
  <c r="Q204" i="1"/>
  <c r="P267" i="1"/>
  <c r="P204" i="1"/>
  <c r="O204" i="1"/>
  <c r="N204" i="1"/>
  <c r="M204" i="1"/>
  <c r="L204" i="1"/>
  <c r="R141" i="1"/>
  <c r="Q141" i="1"/>
  <c r="P141" i="1"/>
  <c r="L330" i="1"/>
  <c r="M141" i="1"/>
  <c r="L141" i="1"/>
  <c r="R78" i="1"/>
  <c r="O393" i="1"/>
  <c r="Q78" i="1"/>
  <c r="N393" i="1"/>
  <c r="P78" i="1"/>
  <c r="M393" i="1"/>
  <c r="L393" i="1"/>
  <c r="N78" i="1"/>
  <c r="M78" i="1"/>
  <c r="L78" i="1"/>
  <c r="O330" i="1"/>
  <c r="R204" i="1"/>
  <c r="M330" i="1"/>
  <c r="R330" i="1"/>
  <c r="N330" i="1"/>
  <c r="Q330" i="1"/>
  <c r="O78" i="1"/>
  <c r="O141" i="1"/>
  <c r="P330" i="1"/>
  <c r="N141" i="1"/>
  <c r="H330" i="1"/>
  <c r="G78" i="1"/>
  <c r="I393" i="1"/>
  <c r="I204" i="1"/>
  <c r="H141" i="1"/>
  <c r="F267" i="1"/>
  <c r="F393" i="1"/>
  <c r="C393" i="1"/>
  <c r="I141" i="1"/>
  <c r="G141" i="1"/>
  <c r="F204" i="1"/>
  <c r="E393" i="1"/>
  <c r="H267" i="1"/>
  <c r="E267" i="1"/>
  <c r="G330" i="1"/>
  <c r="G267" i="1"/>
  <c r="F78" i="1"/>
  <c r="I330" i="1"/>
  <c r="H78" i="1"/>
  <c r="E330" i="1"/>
  <c r="D141" i="1"/>
  <c r="I78" i="1"/>
  <c r="E141" i="1"/>
  <c r="E204" i="1"/>
  <c r="I267" i="1"/>
  <c r="G204" i="1"/>
  <c r="D204" i="1"/>
  <c r="H393" i="1"/>
  <c r="D393" i="1"/>
  <c r="D267" i="1"/>
  <c r="H204" i="1"/>
  <c r="F330" i="1"/>
  <c r="G393" i="1"/>
  <c r="E78" i="1"/>
  <c r="C330" i="1"/>
  <c r="D330" i="1"/>
  <c r="D78" i="1"/>
  <c r="F141" i="1"/>
  <c r="A395" i="1"/>
  <c r="B394" i="1"/>
  <c r="B331" i="1"/>
  <c r="A332" i="1"/>
  <c r="B267" i="1"/>
  <c r="A268" i="1"/>
  <c r="B204" i="1"/>
  <c r="A205" i="1"/>
  <c r="A142" i="1"/>
  <c r="B141" i="1"/>
  <c r="A79" i="1"/>
  <c r="C204" i="1"/>
  <c r="C267" i="1"/>
  <c r="C78" i="1"/>
  <c r="C141" i="1"/>
  <c r="B78" i="1"/>
  <c r="P394" i="1" l="1"/>
  <c r="N394" i="1"/>
  <c r="M394" i="1"/>
  <c r="N205" i="1"/>
  <c r="L394" i="1"/>
  <c r="M205" i="1"/>
  <c r="R331" i="1"/>
  <c r="L205" i="1"/>
  <c r="Q331" i="1"/>
  <c r="P331" i="1"/>
  <c r="Q142" i="1"/>
  <c r="P142" i="1"/>
  <c r="O142" i="1"/>
  <c r="N142" i="1"/>
  <c r="M142" i="1"/>
  <c r="L142" i="1"/>
  <c r="R394" i="1"/>
  <c r="Q394" i="1"/>
  <c r="O394" i="1"/>
  <c r="O268" i="1"/>
  <c r="Q79" i="1"/>
  <c r="N268" i="1"/>
  <c r="P79" i="1"/>
  <c r="M268" i="1"/>
  <c r="O79" i="1"/>
  <c r="L268" i="1"/>
  <c r="N79" i="1"/>
  <c r="M79" i="1"/>
  <c r="L79" i="1"/>
  <c r="O331" i="1"/>
  <c r="N331" i="1"/>
  <c r="M331" i="1"/>
  <c r="R268" i="1"/>
  <c r="R142" i="1"/>
  <c r="Q268" i="1"/>
  <c r="R79" i="1"/>
  <c r="P268" i="1"/>
  <c r="L331" i="1"/>
  <c r="R205" i="1"/>
  <c r="P205" i="1"/>
  <c r="O205" i="1"/>
  <c r="Q205" i="1"/>
  <c r="G79" i="1"/>
  <c r="I394" i="1"/>
  <c r="I205" i="1"/>
  <c r="H142" i="1"/>
  <c r="G331" i="1"/>
  <c r="F331" i="1"/>
  <c r="C394" i="1"/>
  <c r="E268" i="1"/>
  <c r="G268" i="1"/>
  <c r="F79" i="1"/>
  <c r="I331" i="1"/>
  <c r="H331" i="1"/>
  <c r="E142" i="1"/>
  <c r="E331" i="1"/>
  <c r="I79" i="1"/>
  <c r="D142" i="1"/>
  <c r="E205" i="1"/>
  <c r="D268" i="1"/>
  <c r="I268" i="1"/>
  <c r="F142" i="1"/>
  <c r="E79" i="1"/>
  <c r="H268" i="1"/>
  <c r="F394" i="1"/>
  <c r="F205" i="1"/>
  <c r="D205" i="1"/>
  <c r="G394" i="1"/>
  <c r="H394" i="1"/>
  <c r="D394" i="1"/>
  <c r="E394" i="1"/>
  <c r="F268" i="1"/>
  <c r="I142" i="1"/>
  <c r="G205" i="1"/>
  <c r="H205" i="1"/>
  <c r="D79" i="1"/>
  <c r="D331" i="1"/>
  <c r="C331" i="1"/>
  <c r="G142" i="1"/>
  <c r="H79" i="1"/>
  <c r="A396" i="1"/>
  <c r="B395" i="1"/>
  <c r="B332" i="1"/>
  <c r="A333" i="1"/>
  <c r="A269" i="1"/>
  <c r="B268" i="1"/>
  <c r="A206" i="1"/>
  <c r="B205" i="1"/>
  <c r="A143" i="1"/>
  <c r="B142" i="1"/>
  <c r="A80" i="1"/>
  <c r="C79" i="1"/>
  <c r="C142" i="1"/>
  <c r="C205" i="1"/>
  <c r="C268" i="1"/>
  <c r="B79" i="1"/>
  <c r="P332" i="1" l="1"/>
  <c r="N332" i="1"/>
  <c r="M332" i="1"/>
  <c r="L332" i="1"/>
  <c r="S269" i="1"/>
  <c r="R269" i="1"/>
  <c r="Q269" i="1"/>
  <c r="P269" i="1"/>
  <c r="Q395" i="1"/>
  <c r="P395" i="1"/>
  <c r="O395" i="1"/>
  <c r="N395" i="1"/>
  <c r="M395" i="1"/>
  <c r="L395" i="1"/>
  <c r="S332" i="1"/>
  <c r="R332" i="1"/>
  <c r="Q332" i="1"/>
  <c r="S206" i="1"/>
  <c r="S394" i="1" s="1"/>
  <c r="O332" i="1"/>
  <c r="R206" i="1"/>
  <c r="S395" i="1"/>
  <c r="R395" i="1"/>
  <c r="Q206" i="1"/>
  <c r="P206" i="1"/>
  <c r="N206" i="1"/>
  <c r="R143" i="1"/>
  <c r="M206" i="1"/>
  <c r="Q143" i="1"/>
  <c r="S80" i="1"/>
  <c r="L206" i="1"/>
  <c r="P143" i="1"/>
  <c r="R80" i="1"/>
  <c r="M80" i="1"/>
  <c r="P80" i="1"/>
  <c r="L269" i="1"/>
  <c r="O80" i="1"/>
  <c r="N80" i="1"/>
  <c r="L80" i="1"/>
  <c r="S143" i="1"/>
  <c r="O269" i="1"/>
  <c r="Q80" i="1"/>
  <c r="O143" i="1"/>
  <c r="O206" i="1"/>
  <c r="M143" i="1"/>
  <c r="N269" i="1"/>
  <c r="M269" i="1"/>
  <c r="N143" i="1"/>
  <c r="L143" i="1"/>
  <c r="I395" i="1"/>
  <c r="I206" i="1"/>
  <c r="H143" i="1"/>
  <c r="J269" i="1"/>
  <c r="F269" i="1"/>
  <c r="G332" i="1"/>
  <c r="J80" i="1"/>
  <c r="I143" i="1"/>
  <c r="G143" i="1"/>
  <c r="F206" i="1"/>
  <c r="F332" i="1"/>
  <c r="I80" i="1"/>
  <c r="G269" i="1"/>
  <c r="F80" i="1"/>
  <c r="D206" i="1"/>
  <c r="I332" i="1"/>
  <c r="J206" i="1"/>
  <c r="H332" i="1"/>
  <c r="E143" i="1"/>
  <c r="H395" i="1"/>
  <c r="H80" i="1"/>
  <c r="G395" i="1"/>
  <c r="E395" i="1"/>
  <c r="D143" i="1"/>
  <c r="G80" i="1"/>
  <c r="E269" i="1"/>
  <c r="E206" i="1"/>
  <c r="D269" i="1"/>
  <c r="H269" i="1"/>
  <c r="J143" i="1"/>
  <c r="E332" i="1"/>
  <c r="I269" i="1"/>
  <c r="J395" i="1"/>
  <c r="H206" i="1"/>
  <c r="D332" i="1"/>
  <c r="C332" i="1"/>
  <c r="F395" i="1"/>
  <c r="D80" i="1"/>
  <c r="D395" i="1"/>
  <c r="J332" i="1"/>
  <c r="F143" i="1"/>
  <c r="C395" i="1"/>
  <c r="G206" i="1"/>
  <c r="E80" i="1"/>
  <c r="A397" i="1"/>
  <c r="B396" i="1"/>
  <c r="A334" i="1"/>
  <c r="B333" i="1"/>
  <c r="A270" i="1"/>
  <c r="B269" i="1"/>
  <c r="A207" i="1"/>
  <c r="B206" i="1"/>
  <c r="A144" i="1"/>
  <c r="B143" i="1"/>
  <c r="A81" i="1"/>
  <c r="C206" i="1"/>
  <c r="C80" i="1"/>
  <c r="C143" i="1"/>
  <c r="C269" i="1"/>
  <c r="B80" i="1"/>
  <c r="O270" i="1" l="1"/>
  <c r="S396" i="1"/>
  <c r="M270" i="1"/>
  <c r="R396" i="1"/>
  <c r="L270" i="1"/>
  <c r="S207" i="1"/>
  <c r="Q396" i="1"/>
  <c r="R207" i="1"/>
  <c r="P396" i="1"/>
  <c r="Q207" i="1"/>
  <c r="O396" i="1"/>
  <c r="P207" i="1"/>
  <c r="N396" i="1"/>
  <c r="O207" i="1"/>
  <c r="P333" i="1"/>
  <c r="O333" i="1"/>
  <c r="N333" i="1"/>
  <c r="M333" i="1"/>
  <c r="S144" i="1"/>
  <c r="L333" i="1"/>
  <c r="S270" i="1"/>
  <c r="N207" i="1"/>
  <c r="R144" i="1"/>
  <c r="R270" i="1"/>
  <c r="M207" i="1"/>
  <c r="Q144" i="1"/>
  <c r="Q270" i="1"/>
  <c r="L207" i="1"/>
  <c r="P144" i="1"/>
  <c r="P270" i="1"/>
  <c r="O144" i="1"/>
  <c r="N270" i="1"/>
  <c r="N144" i="1"/>
  <c r="S81" i="1"/>
  <c r="P81" i="1"/>
  <c r="M396" i="1"/>
  <c r="L396" i="1"/>
  <c r="R81" i="1"/>
  <c r="Q81" i="1"/>
  <c r="S333" i="1"/>
  <c r="M144" i="1"/>
  <c r="O81" i="1"/>
  <c r="R333" i="1"/>
  <c r="L144" i="1"/>
  <c r="N81" i="1"/>
  <c r="Q333" i="1"/>
  <c r="L81" i="1"/>
  <c r="M81" i="1"/>
  <c r="J394" i="1"/>
  <c r="J270" i="1"/>
  <c r="G333" i="1"/>
  <c r="C396" i="1"/>
  <c r="J81" i="1"/>
  <c r="G144" i="1"/>
  <c r="F81" i="1"/>
  <c r="I81" i="1"/>
  <c r="H81" i="1"/>
  <c r="I333" i="1"/>
  <c r="D396" i="1"/>
  <c r="J207" i="1"/>
  <c r="H333" i="1"/>
  <c r="E396" i="1"/>
  <c r="E144" i="1"/>
  <c r="H396" i="1"/>
  <c r="D144" i="1"/>
  <c r="G81" i="1"/>
  <c r="E270" i="1"/>
  <c r="E207" i="1"/>
  <c r="D270" i="1"/>
  <c r="I270" i="1"/>
  <c r="G270" i="1"/>
  <c r="H270" i="1"/>
  <c r="G207" i="1"/>
  <c r="J144" i="1"/>
  <c r="E333" i="1"/>
  <c r="D207" i="1"/>
  <c r="J396" i="1"/>
  <c r="G396" i="1"/>
  <c r="H144" i="1"/>
  <c r="F396" i="1"/>
  <c r="D333" i="1"/>
  <c r="I207" i="1"/>
  <c r="J333" i="1"/>
  <c r="I396" i="1"/>
  <c r="F333" i="1"/>
  <c r="F270" i="1"/>
  <c r="I144" i="1"/>
  <c r="F144" i="1"/>
  <c r="F207" i="1"/>
  <c r="C333" i="1"/>
  <c r="E81" i="1"/>
  <c r="H207" i="1"/>
  <c r="D81" i="1"/>
  <c r="A398" i="1"/>
  <c r="B397" i="1"/>
  <c r="B334" i="1"/>
  <c r="A335" i="1"/>
  <c r="A271" i="1"/>
  <c r="B270" i="1"/>
  <c r="A208" i="1"/>
  <c r="B207" i="1"/>
  <c r="A145" i="1"/>
  <c r="B144" i="1"/>
  <c r="A82" i="1"/>
  <c r="C270" i="1"/>
  <c r="C81" i="1"/>
  <c r="C207" i="1"/>
  <c r="C144" i="1"/>
  <c r="B81" i="1"/>
  <c r="M397" i="1" l="1"/>
  <c r="R334" i="1"/>
  <c r="L208" i="1"/>
  <c r="Q334" i="1"/>
  <c r="P334" i="1"/>
  <c r="O334" i="1"/>
  <c r="N334" i="1"/>
  <c r="M334" i="1"/>
  <c r="O271" i="1"/>
  <c r="P208" i="1"/>
  <c r="N145" i="1"/>
  <c r="N271" i="1"/>
  <c r="O208" i="1"/>
  <c r="M145" i="1"/>
  <c r="M271" i="1"/>
  <c r="N208" i="1"/>
  <c r="L145" i="1"/>
  <c r="L271" i="1"/>
  <c r="M208" i="1"/>
  <c r="O397" i="1"/>
  <c r="N82" i="1"/>
  <c r="N397" i="1"/>
  <c r="M82" i="1"/>
  <c r="L397" i="1"/>
  <c r="S145" i="1"/>
  <c r="L82" i="1"/>
  <c r="R145" i="1"/>
  <c r="S208" i="1"/>
  <c r="Q145" i="1"/>
  <c r="S334" i="1"/>
  <c r="R208" i="1"/>
  <c r="P145" i="1"/>
  <c r="L334" i="1"/>
  <c r="Q208" i="1"/>
  <c r="O145" i="1"/>
  <c r="R271" i="1"/>
  <c r="Q271" i="1"/>
  <c r="P271" i="1"/>
  <c r="R397" i="1"/>
  <c r="Q82" i="1"/>
  <c r="R82" i="1"/>
  <c r="P82" i="1"/>
  <c r="O82" i="1"/>
  <c r="S271" i="1"/>
  <c r="S82" i="1"/>
  <c r="S397" i="1"/>
  <c r="Q397" i="1"/>
  <c r="P397" i="1"/>
  <c r="G334" i="1"/>
  <c r="J82" i="1"/>
  <c r="H145" i="1"/>
  <c r="F334" i="1"/>
  <c r="E271" i="1"/>
  <c r="H82" i="1"/>
  <c r="J208" i="1"/>
  <c r="H334" i="1"/>
  <c r="E145" i="1"/>
  <c r="H397" i="1"/>
  <c r="C397" i="1"/>
  <c r="D397" i="1"/>
  <c r="I82" i="1"/>
  <c r="E397" i="1"/>
  <c r="I397" i="1"/>
  <c r="G82" i="1"/>
  <c r="E208" i="1"/>
  <c r="D271" i="1"/>
  <c r="I334" i="1"/>
  <c r="G271" i="1"/>
  <c r="J145" i="1"/>
  <c r="H271" i="1"/>
  <c r="I271" i="1"/>
  <c r="F145" i="1"/>
  <c r="E82" i="1"/>
  <c r="H208" i="1"/>
  <c r="F271" i="1"/>
  <c r="D208" i="1"/>
  <c r="G397" i="1"/>
  <c r="J397" i="1"/>
  <c r="C334" i="1"/>
  <c r="F82" i="1"/>
  <c r="E334" i="1"/>
  <c r="J334" i="1"/>
  <c r="F208" i="1"/>
  <c r="I145" i="1"/>
  <c r="J271" i="1"/>
  <c r="I208" i="1"/>
  <c r="G145" i="1"/>
  <c r="F397" i="1"/>
  <c r="G208" i="1"/>
  <c r="D334" i="1"/>
  <c r="D82" i="1"/>
  <c r="D145" i="1"/>
  <c r="A399" i="1"/>
  <c r="B398" i="1"/>
  <c r="A336" i="1"/>
  <c r="B335" i="1"/>
  <c r="B271" i="1"/>
  <c r="A272" i="1"/>
  <c r="B208" i="1"/>
  <c r="A209" i="1"/>
  <c r="A146" i="1"/>
  <c r="B145" i="1"/>
  <c r="A83" i="1"/>
  <c r="C208" i="1"/>
  <c r="C82" i="1"/>
  <c r="C145" i="1"/>
  <c r="C271" i="1"/>
  <c r="B82" i="1"/>
  <c r="L335" i="1" l="1"/>
  <c r="S272" i="1"/>
  <c r="Q272" i="1"/>
  <c r="P272" i="1"/>
  <c r="O272" i="1"/>
  <c r="N272" i="1"/>
  <c r="S398" i="1"/>
  <c r="M272" i="1"/>
  <c r="R398" i="1"/>
  <c r="L272" i="1"/>
  <c r="S209" i="1"/>
  <c r="Q398" i="1"/>
  <c r="P398" i="1"/>
  <c r="O398" i="1"/>
  <c r="N398" i="1"/>
  <c r="M398" i="1"/>
  <c r="S146" i="1"/>
  <c r="L398" i="1"/>
  <c r="S335" i="1"/>
  <c r="R146" i="1"/>
  <c r="Q335" i="1"/>
  <c r="O209" i="1"/>
  <c r="M146" i="1"/>
  <c r="P335" i="1"/>
  <c r="N209" i="1"/>
  <c r="L146" i="1"/>
  <c r="O335" i="1"/>
  <c r="M209" i="1"/>
  <c r="N335" i="1"/>
  <c r="L209" i="1"/>
  <c r="M335" i="1"/>
  <c r="S83" i="1"/>
  <c r="R272" i="1"/>
  <c r="R83" i="1"/>
  <c r="P83" i="1"/>
  <c r="O83" i="1"/>
  <c r="N83" i="1"/>
  <c r="R209" i="1"/>
  <c r="P146" i="1"/>
  <c r="R335" i="1"/>
  <c r="Q146" i="1"/>
  <c r="O146" i="1"/>
  <c r="N146" i="1"/>
  <c r="Q209" i="1"/>
  <c r="L83" i="1"/>
  <c r="P209" i="1"/>
  <c r="Q83" i="1"/>
  <c r="M83" i="1"/>
  <c r="J83" i="1"/>
  <c r="G146" i="1"/>
  <c r="F83" i="1"/>
  <c r="I272" i="1"/>
  <c r="H398" i="1"/>
  <c r="H209" i="1"/>
  <c r="I83" i="1"/>
  <c r="G335" i="1"/>
  <c r="D272" i="1"/>
  <c r="G398" i="1"/>
  <c r="J335" i="1"/>
  <c r="I146" i="1"/>
  <c r="E272" i="1"/>
  <c r="G209" i="1"/>
  <c r="I335" i="1"/>
  <c r="G272" i="1"/>
  <c r="C398" i="1"/>
  <c r="J209" i="1"/>
  <c r="H272" i="1"/>
  <c r="D398" i="1"/>
  <c r="E146" i="1"/>
  <c r="F146" i="1"/>
  <c r="E398" i="1"/>
  <c r="E83" i="1"/>
  <c r="J146" i="1"/>
  <c r="J398" i="1"/>
  <c r="C335" i="1"/>
  <c r="H335" i="1"/>
  <c r="E335" i="1"/>
  <c r="J272" i="1"/>
  <c r="E209" i="1"/>
  <c r="I209" i="1"/>
  <c r="I398" i="1"/>
  <c r="D146" i="1"/>
  <c r="F398" i="1"/>
  <c r="F272" i="1"/>
  <c r="D335" i="1"/>
  <c r="F335" i="1"/>
  <c r="H146" i="1"/>
  <c r="H83" i="1"/>
  <c r="G83" i="1"/>
  <c r="D83" i="1"/>
  <c r="D209" i="1"/>
  <c r="F209" i="1"/>
  <c r="A400" i="1"/>
  <c r="B399" i="1"/>
  <c r="A337" i="1"/>
  <c r="B336" i="1"/>
  <c r="B272" i="1"/>
  <c r="A273" i="1"/>
  <c r="B209" i="1"/>
  <c r="A210" i="1"/>
  <c r="B146" i="1"/>
  <c r="A147" i="1"/>
  <c r="A84" i="1"/>
  <c r="C272" i="1"/>
  <c r="C83" i="1"/>
  <c r="C146" i="1"/>
  <c r="C209" i="1"/>
  <c r="B83" i="1"/>
  <c r="Q399" i="1" l="1"/>
  <c r="O399" i="1"/>
  <c r="P210" i="1"/>
  <c r="N399" i="1"/>
  <c r="O210" i="1"/>
  <c r="M399" i="1"/>
  <c r="N210" i="1"/>
  <c r="L399" i="1"/>
  <c r="S336" i="1"/>
  <c r="M210" i="1"/>
  <c r="R336" i="1"/>
  <c r="L210" i="1"/>
  <c r="Q336" i="1"/>
  <c r="S399" i="1"/>
  <c r="R147" i="1"/>
  <c r="R399" i="1"/>
  <c r="Q147" i="1"/>
  <c r="P399" i="1"/>
  <c r="P147" i="1"/>
  <c r="P336" i="1"/>
  <c r="O147" i="1"/>
  <c r="O336" i="1"/>
  <c r="N147" i="1"/>
  <c r="N336" i="1"/>
  <c r="M147" i="1"/>
  <c r="M336" i="1"/>
  <c r="L147" i="1"/>
  <c r="L336" i="1"/>
  <c r="S273" i="1"/>
  <c r="S210" i="1"/>
  <c r="R273" i="1"/>
  <c r="R210" i="1"/>
  <c r="R84" i="1"/>
  <c r="Q84" i="1"/>
  <c r="Q273" i="1"/>
  <c r="P84" i="1"/>
  <c r="P273" i="1"/>
  <c r="O84" i="1"/>
  <c r="O273" i="1"/>
  <c r="N84" i="1"/>
  <c r="N273" i="1"/>
  <c r="M84" i="1"/>
  <c r="M273" i="1"/>
  <c r="L84" i="1"/>
  <c r="L273" i="1"/>
  <c r="S147" i="1"/>
  <c r="Q210" i="1"/>
  <c r="S84" i="1"/>
  <c r="G147" i="1"/>
  <c r="I273" i="1"/>
  <c r="H399" i="1"/>
  <c r="H210" i="1"/>
  <c r="J336" i="1"/>
  <c r="F336" i="1"/>
  <c r="H84" i="1"/>
  <c r="J399" i="1"/>
  <c r="G336" i="1"/>
  <c r="I84" i="1"/>
  <c r="G399" i="1"/>
  <c r="J273" i="1"/>
  <c r="I336" i="1"/>
  <c r="G273" i="1"/>
  <c r="D273" i="1"/>
  <c r="E147" i="1"/>
  <c r="J210" i="1"/>
  <c r="H273" i="1"/>
  <c r="F147" i="1"/>
  <c r="E84" i="1"/>
  <c r="J147" i="1"/>
  <c r="G210" i="1"/>
  <c r="C399" i="1"/>
  <c r="C336" i="1"/>
  <c r="H336" i="1"/>
  <c r="D84" i="1"/>
  <c r="F84" i="1"/>
  <c r="E399" i="1"/>
  <c r="I399" i="1"/>
  <c r="D147" i="1"/>
  <c r="E210" i="1"/>
  <c r="F399" i="1"/>
  <c r="F273" i="1"/>
  <c r="D210" i="1"/>
  <c r="I210" i="1"/>
  <c r="F210" i="1"/>
  <c r="E273" i="1"/>
  <c r="I147" i="1"/>
  <c r="J84" i="1"/>
  <c r="H147" i="1"/>
  <c r="D399" i="1"/>
  <c r="G84" i="1"/>
  <c r="D336" i="1"/>
  <c r="E336" i="1"/>
  <c r="A401" i="1"/>
  <c r="B400" i="1"/>
  <c r="B337" i="1"/>
  <c r="A338" i="1"/>
  <c r="A274" i="1"/>
  <c r="B273" i="1"/>
  <c r="B210" i="1"/>
  <c r="A211" i="1"/>
  <c r="A148" i="1"/>
  <c r="B147" i="1"/>
  <c r="A85" i="1"/>
  <c r="C273" i="1"/>
  <c r="C147" i="1"/>
  <c r="C210" i="1"/>
  <c r="C84" i="1"/>
  <c r="B84" i="1"/>
  <c r="P337" i="1" l="1"/>
  <c r="N337" i="1"/>
  <c r="M337" i="1"/>
  <c r="L337" i="1"/>
  <c r="S274" i="1"/>
  <c r="R274" i="1"/>
  <c r="Q274" i="1"/>
  <c r="P274" i="1"/>
  <c r="R337" i="1"/>
  <c r="R211" i="1"/>
  <c r="Q337" i="1"/>
  <c r="Q211" i="1"/>
  <c r="O337" i="1"/>
  <c r="P211" i="1"/>
  <c r="O274" i="1"/>
  <c r="O211" i="1"/>
  <c r="N274" i="1"/>
  <c r="N211" i="1"/>
  <c r="M274" i="1"/>
  <c r="M211" i="1"/>
  <c r="L274" i="1"/>
  <c r="L211" i="1"/>
  <c r="R400" i="1"/>
  <c r="S148" i="1"/>
  <c r="S400" i="1"/>
  <c r="R148" i="1"/>
  <c r="Q400" i="1"/>
  <c r="P148" i="1"/>
  <c r="P400" i="1"/>
  <c r="O148" i="1"/>
  <c r="S85" i="1"/>
  <c r="O400" i="1"/>
  <c r="N148" i="1"/>
  <c r="R85" i="1"/>
  <c r="M85" i="1"/>
  <c r="M148" i="1"/>
  <c r="L148" i="1"/>
  <c r="N400" i="1"/>
  <c r="M400" i="1"/>
  <c r="L400" i="1"/>
  <c r="S211" i="1"/>
  <c r="Q85" i="1"/>
  <c r="P85" i="1"/>
  <c r="O85" i="1"/>
  <c r="L85" i="1"/>
  <c r="Q148" i="1"/>
  <c r="N85" i="1"/>
  <c r="S337" i="1"/>
  <c r="I274" i="1"/>
  <c r="H400" i="1"/>
  <c r="H211" i="1"/>
  <c r="J337" i="1"/>
  <c r="C400" i="1"/>
  <c r="J400" i="1"/>
  <c r="E400" i="1"/>
  <c r="F148" i="1"/>
  <c r="I85" i="1"/>
  <c r="G400" i="1"/>
  <c r="J274" i="1"/>
  <c r="E337" i="1"/>
  <c r="I400" i="1"/>
  <c r="J211" i="1"/>
  <c r="H274" i="1"/>
  <c r="E148" i="1"/>
  <c r="E85" i="1"/>
  <c r="J148" i="1"/>
  <c r="G211" i="1"/>
  <c r="F274" i="1"/>
  <c r="D400" i="1"/>
  <c r="D85" i="1"/>
  <c r="J85" i="1"/>
  <c r="I211" i="1"/>
  <c r="D274" i="1"/>
  <c r="C337" i="1"/>
  <c r="G337" i="1"/>
  <c r="H337" i="1"/>
  <c r="G274" i="1"/>
  <c r="F400" i="1"/>
  <c r="H85" i="1"/>
  <c r="D211" i="1"/>
  <c r="F337" i="1"/>
  <c r="F211" i="1"/>
  <c r="E274" i="1"/>
  <c r="I148" i="1"/>
  <c r="G85" i="1"/>
  <c r="H148" i="1"/>
  <c r="D148" i="1"/>
  <c r="G148" i="1"/>
  <c r="F85" i="1"/>
  <c r="I337" i="1"/>
  <c r="D337" i="1"/>
  <c r="E211" i="1"/>
  <c r="A402" i="1"/>
  <c r="B401" i="1"/>
  <c r="B338" i="1"/>
  <c r="A339" i="1"/>
  <c r="A275" i="1"/>
  <c r="B274" i="1"/>
  <c r="A212" i="1"/>
  <c r="B211" i="1"/>
  <c r="A149" i="1"/>
  <c r="B148" i="1"/>
  <c r="A86" i="1"/>
  <c r="C211" i="1"/>
  <c r="C85" i="1"/>
  <c r="C148" i="1"/>
  <c r="C274" i="1"/>
  <c r="B85" i="1"/>
  <c r="O275" i="1" l="1"/>
  <c r="S401" i="1"/>
  <c r="M275" i="1"/>
  <c r="R401" i="1"/>
  <c r="L275" i="1"/>
  <c r="S212" i="1"/>
  <c r="Q401" i="1"/>
  <c r="R212" i="1"/>
  <c r="P401" i="1"/>
  <c r="Q212" i="1"/>
  <c r="O401" i="1"/>
  <c r="P212" i="1"/>
  <c r="N401" i="1"/>
  <c r="O212" i="1"/>
  <c r="Q275" i="1"/>
  <c r="P275" i="1"/>
  <c r="N275" i="1"/>
  <c r="S149" i="1"/>
  <c r="R149" i="1"/>
  <c r="Q149" i="1"/>
  <c r="P149" i="1"/>
  <c r="O149" i="1"/>
  <c r="N149" i="1"/>
  <c r="S275" i="1"/>
  <c r="R275" i="1"/>
  <c r="P86" i="1"/>
  <c r="S86" i="1"/>
  <c r="R86" i="1"/>
  <c r="M149" i="1"/>
  <c r="Q86" i="1"/>
  <c r="M401" i="1"/>
  <c r="L149" i="1"/>
  <c r="L401" i="1"/>
  <c r="O86" i="1"/>
  <c r="N86" i="1"/>
  <c r="S338" i="1"/>
  <c r="L86" i="1"/>
  <c r="R338" i="1"/>
  <c r="Q338" i="1"/>
  <c r="N212" i="1"/>
  <c r="L338" i="1"/>
  <c r="L212" i="1"/>
  <c r="M212" i="1"/>
  <c r="M86" i="1"/>
  <c r="P338" i="1"/>
  <c r="O338" i="1"/>
  <c r="N338" i="1"/>
  <c r="M338" i="1"/>
  <c r="I275" i="1"/>
  <c r="H401" i="1"/>
  <c r="H212" i="1"/>
  <c r="J338" i="1"/>
  <c r="F338" i="1"/>
  <c r="J149" i="1"/>
  <c r="I86" i="1"/>
  <c r="F149" i="1"/>
  <c r="J401" i="1"/>
  <c r="G401" i="1"/>
  <c r="G86" i="1"/>
  <c r="C401" i="1"/>
  <c r="D275" i="1"/>
  <c r="J275" i="1"/>
  <c r="E338" i="1"/>
  <c r="I401" i="1"/>
  <c r="I149" i="1"/>
  <c r="H86" i="1"/>
  <c r="E86" i="1"/>
  <c r="G212" i="1"/>
  <c r="F275" i="1"/>
  <c r="J86" i="1"/>
  <c r="I212" i="1"/>
  <c r="D212" i="1"/>
  <c r="C338" i="1"/>
  <c r="E149" i="1"/>
  <c r="G338" i="1"/>
  <c r="D86" i="1"/>
  <c r="I338" i="1"/>
  <c r="H338" i="1"/>
  <c r="G275" i="1"/>
  <c r="J212" i="1"/>
  <c r="E275" i="1"/>
  <c r="D149" i="1"/>
  <c r="E212" i="1"/>
  <c r="F86" i="1"/>
  <c r="D401" i="1"/>
  <c r="E401" i="1"/>
  <c r="H275" i="1"/>
  <c r="D338" i="1"/>
  <c r="F212" i="1"/>
  <c r="G149" i="1"/>
  <c r="F401" i="1"/>
  <c r="H149" i="1"/>
  <c r="A403" i="1"/>
  <c r="B402" i="1"/>
  <c r="A340" i="1"/>
  <c r="B339" i="1"/>
  <c r="A276" i="1"/>
  <c r="B275" i="1"/>
  <c r="A213" i="1"/>
  <c r="B212" i="1"/>
  <c r="A150" i="1"/>
  <c r="B149" i="1"/>
  <c r="A87" i="1"/>
  <c r="C149" i="1"/>
  <c r="C212" i="1"/>
  <c r="C86" i="1"/>
  <c r="C275" i="1"/>
  <c r="B86" i="1"/>
  <c r="M402" i="1" l="1"/>
  <c r="R339" i="1"/>
  <c r="L213" i="1"/>
  <c r="Q339" i="1"/>
  <c r="P339" i="1"/>
  <c r="O339" i="1"/>
  <c r="N339" i="1"/>
  <c r="M339" i="1"/>
  <c r="N150" i="1"/>
  <c r="M150" i="1"/>
  <c r="L150" i="1"/>
  <c r="S402" i="1"/>
  <c r="R402" i="1"/>
  <c r="Q402" i="1"/>
  <c r="P402" i="1"/>
  <c r="O402" i="1"/>
  <c r="N402" i="1"/>
  <c r="S150" i="1"/>
  <c r="N87" i="1"/>
  <c r="R150" i="1"/>
  <c r="M87" i="1"/>
  <c r="Q150" i="1"/>
  <c r="L87" i="1"/>
  <c r="P150" i="1"/>
  <c r="O150" i="1"/>
  <c r="L402" i="1"/>
  <c r="S213" i="1"/>
  <c r="R213" i="1"/>
  <c r="L339" i="1"/>
  <c r="Q213" i="1"/>
  <c r="S339" i="1"/>
  <c r="P213" i="1"/>
  <c r="N213" i="1"/>
  <c r="M213" i="1"/>
  <c r="S276" i="1"/>
  <c r="N276" i="1"/>
  <c r="Q87" i="1"/>
  <c r="S87" i="1"/>
  <c r="R87" i="1"/>
  <c r="P87" i="1"/>
  <c r="O213" i="1"/>
  <c r="O87" i="1"/>
  <c r="O276" i="1"/>
  <c r="R276" i="1"/>
  <c r="M276" i="1"/>
  <c r="L276" i="1"/>
  <c r="Q276" i="1"/>
  <c r="P276" i="1"/>
  <c r="J339" i="1"/>
  <c r="J150" i="1"/>
  <c r="I87" i="1"/>
  <c r="G213" i="1"/>
  <c r="J402" i="1"/>
  <c r="G402" i="1"/>
  <c r="G87" i="1"/>
  <c r="F150" i="1"/>
  <c r="I402" i="1"/>
  <c r="I339" i="1"/>
  <c r="J276" i="1"/>
  <c r="H402" i="1"/>
  <c r="E339" i="1"/>
  <c r="I150" i="1"/>
  <c r="H87" i="1"/>
  <c r="J87" i="1"/>
  <c r="I213" i="1"/>
  <c r="H150" i="1"/>
  <c r="F276" i="1"/>
  <c r="I276" i="1"/>
  <c r="F402" i="1"/>
  <c r="D276" i="1"/>
  <c r="D87" i="1"/>
  <c r="H339" i="1"/>
  <c r="G276" i="1"/>
  <c r="E276" i="1"/>
  <c r="G339" i="1"/>
  <c r="C339" i="1"/>
  <c r="J213" i="1"/>
  <c r="E150" i="1"/>
  <c r="D339" i="1"/>
  <c r="F213" i="1"/>
  <c r="D402" i="1"/>
  <c r="D213" i="1"/>
  <c r="E213" i="1"/>
  <c r="H276" i="1"/>
  <c r="E402" i="1"/>
  <c r="F87" i="1"/>
  <c r="C402" i="1"/>
  <c r="F339" i="1"/>
  <c r="G150" i="1"/>
  <c r="E87" i="1"/>
  <c r="H213" i="1"/>
  <c r="D150" i="1"/>
  <c r="B403" i="1"/>
  <c r="A404" i="1"/>
  <c r="A341" i="1"/>
  <c r="B340" i="1"/>
  <c r="A277" i="1"/>
  <c r="B276" i="1"/>
  <c r="A214" i="1"/>
  <c r="B213" i="1"/>
  <c r="A151" i="1"/>
  <c r="B150" i="1"/>
  <c r="A88" i="1"/>
  <c r="C213" i="1"/>
  <c r="C276" i="1"/>
  <c r="C87" i="1"/>
  <c r="C150" i="1"/>
  <c r="B87" i="1"/>
  <c r="L340" i="1" l="1"/>
  <c r="S277" i="1"/>
  <c r="Q277" i="1"/>
  <c r="P277" i="1"/>
  <c r="O277" i="1"/>
  <c r="N277" i="1"/>
  <c r="S403" i="1"/>
  <c r="M277" i="1"/>
  <c r="R403" i="1"/>
  <c r="L277" i="1"/>
  <c r="S214" i="1"/>
  <c r="N403" i="1"/>
  <c r="M403" i="1"/>
  <c r="L403" i="1"/>
  <c r="S340" i="1"/>
  <c r="R214" i="1"/>
  <c r="R340" i="1"/>
  <c r="Q214" i="1"/>
  <c r="Q340" i="1"/>
  <c r="P214" i="1"/>
  <c r="P340" i="1"/>
  <c r="O214" i="1"/>
  <c r="O340" i="1"/>
  <c r="N214" i="1"/>
  <c r="N340" i="1"/>
  <c r="M214" i="1"/>
  <c r="S151" i="1"/>
  <c r="M340" i="1"/>
  <c r="L214" i="1"/>
  <c r="R151" i="1"/>
  <c r="Q403" i="1"/>
  <c r="P403" i="1"/>
  <c r="O403" i="1"/>
  <c r="S88" i="1"/>
  <c r="R88" i="1"/>
  <c r="P88" i="1"/>
  <c r="R277" i="1"/>
  <c r="O88" i="1"/>
  <c r="N88" i="1"/>
  <c r="N151" i="1"/>
  <c r="M151" i="1"/>
  <c r="L151" i="1"/>
  <c r="M88" i="1"/>
  <c r="Q151" i="1"/>
  <c r="P151" i="1"/>
  <c r="O151" i="1"/>
  <c r="Q88" i="1"/>
  <c r="L88" i="1"/>
  <c r="J151" i="1"/>
  <c r="I88" i="1"/>
  <c r="F151" i="1"/>
  <c r="G214" i="1"/>
  <c r="G403" i="1"/>
  <c r="E340" i="1"/>
  <c r="I403" i="1"/>
  <c r="I340" i="1"/>
  <c r="J340" i="1"/>
  <c r="J277" i="1"/>
  <c r="H403" i="1"/>
  <c r="I151" i="1"/>
  <c r="H88" i="1"/>
  <c r="E214" i="1"/>
  <c r="H214" i="1"/>
  <c r="F277" i="1"/>
  <c r="I277" i="1"/>
  <c r="D88" i="1"/>
  <c r="J403" i="1"/>
  <c r="D340" i="1"/>
  <c r="H340" i="1"/>
  <c r="G277" i="1"/>
  <c r="D403" i="1"/>
  <c r="E151" i="1"/>
  <c r="E403" i="1"/>
  <c r="D277" i="1"/>
  <c r="E277" i="1"/>
  <c r="G340" i="1"/>
  <c r="J214" i="1"/>
  <c r="C340" i="1"/>
  <c r="G88" i="1"/>
  <c r="C403" i="1"/>
  <c r="E88" i="1"/>
  <c r="D214" i="1"/>
  <c r="F403" i="1"/>
  <c r="H277" i="1"/>
  <c r="J88" i="1"/>
  <c r="F88" i="1"/>
  <c r="G151" i="1"/>
  <c r="D151" i="1"/>
  <c r="F340" i="1"/>
  <c r="F214" i="1"/>
  <c r="I214" i="1"/>
  <c r="H151" i="1"/>
  <c r="B404" i="1"/>
  <c r="A405" i="1"/>
  <c r="B341" i="1"/>
  <c r="A342" i="1"/>
  <c r="A278" i="1"/>
  <c r="B277" i="1"/>
  <c r="A215" i="1"/>
  <c r="B214" i="1"/>
  <c r="B151" i="1"/>
  <c r="A152" i="1"/>
  <c r="A89" i="1"/>
  <c r="C88" i="1"/>
  <c r="C151" i="1"/>
  <c r="C214" i="1"/>
  <c r="C277" i="1"/>
  <c r="B88" i="1"/>
  <c r="Q404" i="1" l="1"/>
  <c r="O404" i="1"/>
  <c r="P215" i="1"/>
  <c r="N404" i="1"/>
  <c r="O215" i="1"/>
  <c r="M404" i="1"/>
  <c r="N215" i="1"/>
  <c r="L404" i="1"/>
  <c r="S341" i="1"/>
  <c r="M215" i="1"/>
  <c r="R341" i="1"/>
  <c r="L215" i="1"/>
  <c r="Q341" i="1"/>
  <c r="M341" i="1"/>
  <c r="R215" i="1"/>
  <c r="R152" i="1"/>
  <c r="L341" i="1"/>
  <c r="S278" i="1"/>
  <c r="Q215" i="1"/>
  <c r="Q152" i="1"/>
  <c r="R278" i="1"/>
  <c r="P152" i="1"/>
  <c r="Q278" i="1"/>
  <c r="O152" i="1"/>
  <c r="P278" i="1"/>
  <c r="N152" i="1"/>
  <c r="O278" i="1"/>
  <c r="M152" i="1"/>
  <c r="N278" i="1"/>
  <c r="L152" i="1"/>
  <c r="M278" i="1"/>
  <c r="L278" i="1"/>
  <c r="R404" i="1"/>
  <c r="R89" i="1"/>
  <c r="P404" i="1"/>
  <c r="Q89" i="1"/>
  <c r="P89" i="1"/>
  <c r="O89" i="1"/>
  <c r="S215" i="1"/>
  <c r="N89" i="1"/>
  <c r="P341" i="1"/>
  <c r="M89" i="1"/>
  <c r="O341" i="1"/>
  <c r="L89" i="1"/>
  <c r="N341" i="1"/>
  <c r="S404" i="1"/>
  <c r="S89" i="1"/>
  <c r="S152" i="1"/>
  <c r="J152" i="1"/>
  <c r="I89" i="1"/>
  <c r="G215" i="1"/>
  <c r="G404" i="1"/>
  <c r="I341" i="1"/>
  <c r="H278" i="1"/>
  <c r="G89" i="1"/>
  <c r="I404" i="1"/>
  <c r="J341" i="1"/>
  <c r="H404" i="1"/>
  <c r="H341" i="1"/>
  <c r="G341" i="1"/>
  <c r="F278" i="1"/>
  <c r="C404" i="1"/>
  <c r="E341" i="1"/>
  <c r="D89" i="1"/>
  <c r="I152" i="1"/>
  <c r="H89" i="1"/>
  <c r="D404" i="1"/>
  <c r="E404" i="1"/>
  <c r="E215" i="1"/>
  <c r="D341" i="1"/>
  <c r="I278" i="1"/>
  <c r="F152" i="1"/>
  <c r="J89" i="1"/>
  <c r="I215" i="1"/>
  <c r="H215" i="1"/>
  <c r="D215" i="1"/>
  <c r="J404" i="1"/>
  <c r="D278" i="1"/>
  <c r="C341" i="1"/>
  <c r="E152" i="1"/>
  <c r="E278" i="1"/>
  <c r="H152" i="1"/>
  <c r="J215" i="1"/>
  <c r="F341" i="1"/>
  <c r="F215" i="1"/>
  <c r="F404" i="1"/>
  <c r="G278" i="1"/>
  <c r="G152" i="1"/>
  <c r="J278" i="1"/>
  <c r="F89" i="1"/>
  <c r="E89" i="1"/>
  <c r="D152" i="1"/>
  <c r="A406" i="1"/>
  <c r="B405" i="1"/>
  <c r="B342" i="1"/>
  <c r="A343" i="1"/>
  <c r="A279" i="1"/>
  <c r="B278" i="1"/>
  <c r="B215" i="1"/>
  <c r="A216" i="1"/>
  <c r="A153" i="1"/>
  <c r="B152" i="1"/>
  <c r="A90" i="1"/>
  <c r="C152" i="1"/>
  <c r="C89" i="1"/>
  <c r="C215" i="1"/>
  <c r="C278" i="1"/>
  <c r="B89" i="1"/>
  <c r="P342" i="1" l="1"/>
  <c r="N342" i="1"/>
  <c r="M342" i="1"/>
  <c r="L342" i="1"/>
  <c r="S279" i="1"/>
  <c r="R279" i="1"/>
  <c r="Q279" i="1"/>
  <c r="P279" i="1"/>
  <c r="L279" i="1"/>
  <c r="S405" i="1"/>
  <c r="R405" i="1"/>
  <c r="Q405" i="1"/>
  <c r="O216" i="1"/>
  <c r="S342" i="1"/>
  <c r="N216" i="1"/>
  <c r="R342" i="1"/>
  <c r="M216" i="1"/>
  <c r="R153" i="1"/>
  <c r="Q342" i="1"/>
  <c r="L216" i="1"/>
  <c r="O342" i="1"/>
  <c r="S153" i="1"/>
  <c r="Q153" i="1"/>
  <c r="O279" i="1"/>
  <c r="P153" i="1"/>
  <c r="N279" i="1"/>
  <c r="M279" i="1"/>
  <c r="N153" i="1"/>
  <c r="M153" i="1"/>
  <c r="S90" i="1"/>
  <c r="L153" i="1"/>
  <c r="R90" i="1"/>
  <c r="M405" i="1"/>
  <c r="R216" i="1"/>
  <c r="M90" i="1"/>
  <c r="N405" i="1"/>
  <c r="Q216" i="1"/>
  <c r="L405" i="1"/>
  <c r="P216" i="1"/>
  <c r="N90" i="1"/>
  <c r="Q90" i="1"/>
  <c r="O90" i="1"/>
  <c r="O405" i="1"/>
  <c r="L90" i="1"/>
  <c r="O153" i="1"/>
  <c r="P90" i="1"/>
  <c r="P405" i="1"/>
  <c r="S216" i="1"/>
  <c r="G216" i="1"/>
  <c r="G405" i="1"/>
  <c r="I342" i="1"/>
  <c r="H279" i="1"/>
  <c r="I405" i="1"/>
  <c r="F153" i="1"/>
  <c r="E153" i="1"/>
  <c r="J342" i="1"/>
  <c r="H405" i="1"/>
  <c r="H342" i="1"/>
  <c r="G342" i="1"/>
  <c r="F279" i="1"/>
  <c r="J279" i="1"/>
  <c r="I153" i="1"/>
  <c r="H90" i="1"/>
  <c r="I90" i="1"/>
  <c r="E216" i="1"/>
  <c r="C405" i="1"/>
  <c r="J90" i="1"/>
  <c r="I216" i="1"/>
  <c r="H153" i="1"/>
  <c r="D405" i="1"/>
  <c r="G153" i="1"/>
  <c r="G90" i="1"/>
  <c r="F405" i="1"/>
  <c r="F342" i="1"/>
  <c r="I279" i="1"/>
  <c r="C342" i="1"/>
  <c r="J153" i="1"/>
  <c r="J405" i="1"/>
  <c r="H216" i="1"/>
  <c r="D216" i="1"/>
  <c r="D90" i="1"/>
  <c r="E279" i="1"/>
  <c r="E405" i="1"/>
  <c r="D279" i="1"/>
  <c r="J216" i="1"/>
  <c r="D342" i="1"/>
  <c r="E90" i="1"/>
  <c r="F90" i="1"/>
  <c r="E342" i="1"/>
  <c r="D153" i="1"/>
  <c r="G279" i="1"/>
  <c r="F216" i="1"/>
  <c r="A407" i="1"/>
  <c r="B406" i="1"/>
  <c r="A344" i="1"/>
  <c r="B343" i="1"/>
  <c r="A280" i="1"/>
  <c r="B279" i="1"/>
  <c r="B216" i="1"/>
  <c r="A217" i="1"/>
  <c r="A154" i="1"/>
  <c r="B153" i="1"/>
  <c r="A91" i="1"/>
  <c r="C153" i="1"/>
  <c r="C216" i="1"/>
  <c r="C279" i="1"/>
  <c r="C90" i="1"/>
  <c r="B90" i="1"/>
  <c r="O280" i="1" l="1"/>
  <c r="S406" i="1"/>
  <c r="M280" i="1"/>
  <c r="R406" i="1"/>
  <c r="L280" i="1"/>
  <c r="S217" i="1"/>
  <c r="Q406" i="1"/>
  <c r="R217" i="1"/>
  <c r="P406" i="1"/>
  <c r="Q217" i="1"/>
  <c r="O406" i="1"/>
  <c r="P217" i="1"/>
  <c r="N406" i="1"/>
  <c r="O217" i="1"/>
  <c r="S154" i="1"/>
  <c r="M406" i="1"/>
  <c r="R154" i="1"/>
  <c r="L406" i="1"/>
  <c r="S343" i="1"/>
  <c r="Q154" i="1"/>
  <c r="R343" i="1"/>
  <c r="P154" i="1"/>
  <c r="Q343" i="1"/>
  <c r="O154" i="1"/>
  <c r="P343" i="1"/>
  <c r="N217" i="1"/>
  <c r="N154" i="1"/>
  <c r="L343" i="1"/>
  <c r="P91" i="1"/>
  <c r="S280" i="1"/>
  <c r="M154" i="1"/>
  <c r="S91" i="1"/>
  <c r="R280" i="1"/>
  <c r="L154" i="1"/>
  <c r="R91" i="1"/>
  <c r="Q280" i="1"/>
  <c r="Q91" i="1"/>
  <c r="P280" i="1"/>
  <c r="N280" i="1"/>
  <c r="O91" i="1"/>
  <c r="N91" i="1"/>
  <c r="L91" i="1"/>
  <c r="O343" i="1"/>
  <c r="M343" i="1"/>
  <c r="N343" i="1"/>
  <c r="M217" i="1"/>
  <c r="L217" i="1"/>
  <c r="M91" i="1"/>
  <c r="U406" i="1"/>
  <c r="G406" i="1"/>
  <c r="I343" i="1"/>
  <c r="H280" i="1"/>
  <c r="I154" i="1"/>
  <c r="H91" i="1"/>
  <c r="J343" i="1"/>
  <c r="E406" i="1"/>
  <c r="J280" i="1"/>
  <c r="G280" i="1"/>
  <c r="I91" i="1"/>
  <c r="E217" i="1"/>
  <c r="C343" i="1"/>
  <c r="I406" i="1"/>
  <c r="J91" i="1"/>
  <c r="I217" i="1"/>
  <c r="H154" i="1"/>
  <c r="D154" i="1"/>
  <c r="H217" i="1"/>
  <c r="F280" i="1"/>
  <c r="F217" i="1"/>
  <c r="J154" i="1"/>
  <c r="F154" i="1"/>
  <c r="D217" i="1"/>
  <c r="G217" i="1"/>
  <c r="D91" i="1"/>
  <c r="J406" i="1"/>
  <c r="F406" i="1"/>
  <c r="G154" i="1"/>
  <c r="H406" i="1"/>
  <c r="I280" i="1"/>
  <c r="E154" i="1"/>
  <c r="D280" i="1"/>
  <c r="C406" i="1"/>
  <c r="J217" i="1"/>
  <c r="G343" i="1"/>
  <c r="E280" i="1"/>
  <c r="D406" i="1"/>
  <c r="D343" i="1"/>
  <c r="G91" i="1"/>
  <c r="H343" i="1"/>
  <c r="E343" i="1"/>
  <c r="E91" i="1"/>
  <c r="F343" i="1"/>
  <c r="F91" i="1"/>
  <c r="A408" i="1"/>
  <c r="B407" i="1"/>
  <c r="A345" i="1"/>
  <c r="B344" i="1"/>
  <c r="A281" i="1"/>
  <c r="B280" i="1"/>
  <c r="B217" i="1"/>
  <c r="A218" i="1"/>
  <c r="B154" i="1"/>
  <c r="A155" i="1"/>
  <c r="A92" i="1"/>
  <c r="C91" i="1"/>
  <c r="C154" i="1"/>
  <c r="C217" i="1"/>
  <c r="C280" i="1"/>
  <c r="B91" i="1"/>
  <c r="M407" i="1" l="1"/>
  <c r="T344" i="1"/>
  <c r="U407" i="1"/>
  <c r="U92" i="1"/>
  <c r="R344" i="1"/>
  <c r="L218" i="1"/>
  <c r="Q344" i="1"/>
  <c r="P344" i="1"/>
  <c r="O344" i="1"/>
  <c r="U344" i="1"/>
  <c r="N344" i="1"/>
  <c r="M344" i="1"/>
  <c r="T281" i="1"/>
  <c r="P407" i="1"/>
  <c r="T218" i="1"/>
  <c r="N155" i="1"/>
  <c r="O407" i="1"/>
  <c r="S218" i="1"/>
  <c r="M155" i="1"/>
  <c r="N407" i="1"/>
  <c r="R218" i="1"/>
  <c r="L155" i="1"/>
  <c r="U155" i="1"/>
  <c r="L407" i="1"/>
  <c r="S344" i="1"/>
  <c r="Q218" i="1"/>
  <c r="L344" i="1"/>
  <c r="S281" i="1"/>
  <c r="P218" i="1"/>
  <c r="R281" i="1"/>
  <c r="O218" i="1"/>
  <c r="Q281" i="1"/>
  <c r="N218" i="1"/>
  <c r="U218" i="1"/>
  <c r="P281" i="1"/>
  <c r="M218" i="1"/>
  <c r="O281" i="1"/>
  <c r="N281" i="1"/>
  <c r="Q155" i="1"/>
  <c r="N92" i="1"/>
  <c r="M281" i="1"/>
  <c r="P155" i="1"/>
  <c r="M92" i="1"/>
  <c r="L281" i="1"/>
  <c r="O155" i="1"/>
  <c r="L92" i="1"/>
  <c r="K218" i="1"/>
  <c r="U281" i="1"/>
  <c r="K155" i="1"/>
  <c r="T407" i="1"/>
  <c r="S407" i="1"/>
  <c r="K407" i="1"/>
  <c r="K92" i="1"/>
  <c r="R407" i="1"/>
  <c r="T155" i="1"/>
  <c r="Q92" i="1"/>
  <c r="K281" i="1"/>
  <c r="Q407" i="1"/>
  <c r="T92" i="1"/>
  <c r="S92" i="1"/>
  <c r="R92" i="1"/>
  <c r="S155" i="1"/>
  <c r="R155" i="1"/>
  <c r="P92" i="1"/>
  <c r="K344" i="1"/>
  <c r="O92" i="1"/>
  <c r="I344" i="1"/>
  <c r="H281" i="1"/>
  <c r="I155" i="1"/>
  <c r="H92" i="1"/>
  <c r="J407" i="1"/>
  <c r="J218" i="1"/>
  <c r="F218" i="1"/>
  <c r="H407" i="1"/>
  <c r="H344" i="1"/>
  <c r="G344" i="1"/>
  <c r="F281" i="1"/>
  <c r="J281" i="1"/>
  <c r="G281" i="1"/>
  <c r="D407" i="1"/>
  <c r="E407" i="1"/>
  <c r="D344" i="1"/>
  <c r="I407" i="1"/>
  <c r="G407" i="1"/>
  <c r="J92" i="1"/>
  <c r="I218" i="1"/>
  <c r="H155" i="1"/>
  <c r="E92" i="1"/>
  <c r="I281" i="1"/>
  <c r="I92" i="1"/>
  <c r="G218" i="1"/>
  <c r="C344" i="1"/>
  <c r="D218" i="1"/>
  <c r="D92" i="1"/>
  <c r="H218" i="1"/>
  <c r="F407" i="1"/>
  <c r="F92" i="1"/>
  <c r="J344" i="1"/>
  <c r="E155" i="1"/>
  <c r="D281" i="1"/>
  <c r="E281" i="1"/>
  <c r="C407" i="1"/>
  <c r="D155" i="1"/>
  <c r="F155" i="1"/>
  <c r="E218" i="1"/>
  <c r="G155" i="1"/>
  <c r="G92" i="1"/>
  <c r="J155" i="1"/>
  <c r="F344" i="1"/>
  <c r="E344" i="1"/>
  <c r="A409" i="1"/>
  <c r="B408" i="1"/>
  <c r="A346" i="1"/>
  <c r="B345" i="1"/>
  <c r="B281" i="1"/>
  <c r="A282" i="1"/>
  <c r="A219" i="1"/>
  <c r="B218" i="1"/>
  <c r="A156" i="1"/>
  <c r="B155" i="1"/>
  <c r="A93" i="1"/>
  <c r="C218" i="1"/>
  <c r="C155" i="1"/>
  <c r="C281" i="1"/>
  <c r="C92" i="1"/>
  <c r="B92" i="1"/>
  <c r="T406" i="1" l="1"/>
  <c r="K406" i="1"/>
  <c r="R282" i="1"/>
  <c r="U408" i="1"/>
  <c r="P282" i="1"/>
  <c r="O282" i="1"/>
  <c r="T408" i="1"/>
  <c r="N282" i="1"/>
  <c r="U345" i="1"/>
  <c r="S408" i="1"/>
  <c r="M282" i="1"/>
  <c r="T219" i="1"/>
  <c r="R408" i="1"/>
  <c r="L282" i="1"/>
  <c r="S219" i="1"/>
  <c r="Q408" i="1"/>
  <c r="R219" i="1"/>
  <c r="N345" i="1"/>
  <c r="M345" i="1"/>
  <c r="T282" i="1"/>
  <c r="U156" i="1"/>
  <c r="L345" i="1"/>
  <c r="S282" i="1"/>
  <c r="Q282" i="1"/>
  <c r="T156" i="1"/>
  <c r="U219" i="1"/>
  <c r="S156" i="1"/>
  <c r="R156" i="1"/>
  <c r="Q156" i="1"/>
  <c r="K219" i="1"/>
  <c r="U282" i="1"/>
  <c r="P408" i="1"/>
  <c r="T93" i="1"/>
  <c r="O408" i="1"/>
  <c r="S93" i="1"/>
  <c r="K156" i="1"/>
  <c r="N408" i="1"/>
  <c r="R93" i="1"/>
  <c r="M408" i="1"/>
  <c r="Q219" i="1"/>
  <c r="Q93" i="1"/>
  <c r="L408" i="1"/>
  <c r="O219" i="1"/>
  <c r="O93" i="1"/>
  <c r="K408" i="1"/>
  <c r="K93" i="1"/>
  <c r="T345" i="1"/>
  <c r="N219" i="1"/>
  <c r="N93" i="1"/>
  <c r="S345" i="1"/>
  <c r="M219" i="1"/>
  <c r="P156" i="1"/>
  <c r="M93" i="1"/>
  <c r="Q345" i="1"/>
  <c r="P345" i="1"/>
  <c r="L93" i="1"/>
  <c r="O345" i="1"/>
  <c r="P93" i="1"/>
  <c r="R345" i="1"/>
  <c r="P219" i="1"/>
  <c r="O156" i="1"/>
  <c r="K282" i="1"/>
  <c r="N156" i="1"/>
  <c r="K345" i="1"/>
  <c r="U93" i="1"/>
  <c r="L219" i="1"/>
  <c r="M156" i="1"/>
  <c r="L156" i="1"/>
  <c r="I156" i="1"/>
  <c r="H93" i="1"/>
  <c r="J408" i="1"/>
  <c r="J219" i="1"/>
  <c r="G282" i="1"/>
  <c r="F408" i="1"/>
  <c r="J282" i="1"/>
  <c r="G408" i="1"/>
  <c r="I345" i="1"/>
  <c r="I282" i="1"/>
  <c r="I408" i="1"/>
  <c r="J93" i="1"/>
  <c r="I219" i="1"/>
  <c r="H156" i="1"/>
  <c r="E93" i="1"/>
  <c r="G156" i="1"/>
  <c r="G93" i="1"/>
  <c r="F345" i="1"/>
  <c r="J156" i="1"/>
  <c r="G219" i="1"/>
  <c r="F282" i="1"/>
  <c r="C408" i="1"/>
  <c r="D219" i="1"/>
  <c r="D93" i="1"/>
  <c r="H219" i="1"/>
  <c r="D408" i="1"/>
  <c r="C345" i="1"/>
  <c r="E408" i="1"/>
  <c r="D345" i="1"/>
  <c r="J345" i="1"/>
  <c r="E282" i="1"/>
  <c r="G345" i="1"/>
  <c r="D156" i="1"/>
  <c r="H408" i="1"/>
  <c r="H282" i="1"/>
  <c r="E219" i="1"/>
  <c r="E156" i="1"/>
  <c r="E345" i="1"/>
  <c r="F156" i="1"/>
  <c r="D282" i="1"/>
  <c r="I93" i="1"/>
  <c r="H345" i="1"/>
  <c r="F219" i="1"/>
  <c r="F93" i="1"/>
  <c r="A410" i="1"/>
  <c r="B409" i="1"/>
  <c r="A347" i="1"/>
  <c r="B346" i="1"/>
  <c r="A283" i="1"/>
  <c r="B282" i="1"/>
  <c r="A220" i="1"/>
  <c r="B219" i="1"/>
  <c r="B156" i="1"/>
  <c r="A157" i="1"/>
  <c r="A94" i="1"/>
  <c r="C219" i="1"/>
  <c r="C282" i="1"/>
  <c r="C93" i="1"/>
  <c r="C156" i="1"/>
  <c r="B93" i="1"/>
  <c r="U409" i="1" l="1"/>
  <c r="U94" i="1"/>
  <c r="O409" i="1"/>
  <c r="M409" i="1"/>
  <c r="T346" i="1"/>
  <c r="N220" i="1"/>
  <c r="L409" i="1"/>
  <c r="S346" i="1"/>
  <c r="M220" i="1"/>
  <c r="U346" i="1"/>
  <c r="R346" i="1"/>
  <c r="L220" i="1"/>
  <c r="Q346" i="1"/>
  <c r="P346" i="1"/>
  <c r="O346" i="1"/>
  <c r="L283" i="1"/>
  <c r="P157" i="1"/>
  <c r="U157" i="1"/>
  <c r="O157" i="1"/>
  <c r="N157" i="1"/>
  <c r="M157" i="1"/>
  <c r="L157" i="1"/>
  <c r="U220" i="1"/>
  <c r="T409" i="1"/>
  <c r="S409" i="1"/>
  <c r="R409" i="1"/>
  <c r="Q409" i="1"/>
  <c r="T220" i="1"/>
  <c r="P94" i="1"/>
  <c r="O94" i="1"/>
  <c r="K220" i="1"/>
  <c r="N94" i="1"/>
  <c r="U283" i="1"/>
  <c r="P409" i="1"/>
  <c r="S220" i="1"/>
  <c r="M94" i="1"/>
  <c r="N409" i="1"/>
  <c r="R220" i="1"/>
  <c r="L94" i="1"/>
  <c r="Q220" i="1"/>
  <c r="K157" i="1"/>
  <c r="P220" i="1"/>
  <c r="O220" i="1"/>
  <c r="N346" i="1"/>
  <c r="T157" i="1"/>
  <c r="M346" i="1"/>
  <c r="L346" i="1"/>
  <c r="R157" i="1"/>
  <c r="Q157" i="1"/>
  <c r="T283" i="1"/>
  <c r="O283" i="1"/>
  <c r="S94" i="1"/>
  <c r="T94" i="1"/>
  <c r="S283" i="1"/>
  <c r="R94" i="1"/>
  <c r="Q94" i="1"/>
  <c r="R283" i="1"/>
  <c r="P283" i="1"/>
  <c r="Q283" i="1"/>
  <c r="N283" i="1"/>
  <c r="S157" i="1"/>
  <c r="K94" i="1"/>
  <c r="K346" i="1"/>
  <c r="K283" i="1"/>
  <c r="M283" i="1"/>
  <c r="K409" i="1"/>
  <c r="I157" i="1"/>
  <c r="H94" i="1"/>
  <c r="J409" i="1"/>
  <c r="J220" i="1"/>
  <c r="F220" i="1"/>
  <c r="G283" i="1"/>
  <c r="I346" i="1"/>
  <c r="I283" i="1"/>
  <c r="J94" i="1"/>
  <c r="I220" i="1"/>
  <c r="H157" i="1"/>
  <c r="G409" i="1"/>
  <c r="D157" i="1"/>
  <c r="E94" i="1"/>
  <c r="G157" i="1"/>
  <c r="G94" i="1"/>
  <c r="F346" i="1"/>
  <c r="J346" i="1"/>
  <c r="H220" i="1"/>
  <c r="F409" i="1"/>
  <c r="C409" i="1"/>
  <c r="D346" i="1"/>
  <c r="C346" i="1"/>
  <c r="D409" i="1"/>
  <c r="H409" i="1"/>
  <c r="G346" i="1"/>
  <c r="D94" i="1"/>
  <c r="E409" i="1"/>
  <c r="I94" i="1"/>
  <c r="F283" i="1"/>
  <c r="G220" i="1"/>
  <c r="I409" i="1"/>
  <c r="F157" i="1"/>
  <c r="J157" i="1"/>
  <c r="F94" i="1"/>
  <c r="E283" i="1"/>
  <c r="E220" i="1"/>
  <c r="E157" i="1"/>
  <c r="D283" i="1"/>
  <c r="D220" i="1"/>
  <c r="H346" i="1"/>
  <c r="J283" i="1"/>
  <c r="E346" i="1"/>
  <c r="H283" i="1"/>
  <c r="B410" i="1"/>
  <c r="A411" i="1"/>
  <c r="B347" i="1"/>
  <c r="A348" i="1"/>
  <c r="A284" i="1"/>
  <c r="B283" i="1"/>
  <c r="A221" i="1"/>
  <c r="B220" i="1"/>
  <c r="A158" i="1"/>
  <c r="B157" i="1"/>
  <c r="A95" i="1"/>
  <c r="C94" i="1"/>
  <c r="C157" i="1"/>
  <c r="C220" i="1"/>
  <c r="C283" i="1"/>
  <c r="B94" i="1"/>
  <c r="M347" i="1" l="1"/>
  <c r="T284" i="1"/>
  <c r="R284" i="1"/>
  <c r="U347" i="1"/>
  <c r="Q284" i="1"/>
  <c r="P284" i="1"/>
  <c r="O284" i="1"/>
  <c r="T410" i="1"/>
  <c r="N284" i="1"/>
  <c r="U284" i="1"/>
  <c r="S410" i="1"/>
  <c r="M284" i="1"/>
  <c r="T221" i="1"/>
  <c r="U158" i="1"/>
  <c r="P410" i="1"/>
  <c r="S221" i="1"/>
  <c r="O410" i="1"/>
  <c r="R221" i="1"/>
  <c r="N410" i="1"/>
  <c r="Q221" i="1"/>
  <c r="M410" i="1"/>
  <c r="T347" i="1"/>
  <c r="P221" i="1"/>
  <c r="U410" i="1"/>
  <c r="U221" i="1"/>
  <c r="L410" i="1"/>
  <c r="S347" i="1"/>
  <c r="O221" i="1"/>
  <c r="R347" i="1"/>
  <c r="N221" i="1"/>
  <c r="Q347" i="1"/>
  <c r="M221" i="1"/>
  <c r="P347" i="1"/>
  <c r="L221" i="1"/>
  <c r="T158" i="1"/>
  <c r="O347" i="1"/>
  <c r="S158" i="1"/>
  <c r="K221" i="1"/>
  <c r="R410" i="1"/>
  <c r="R158" i="1"/>
  <c r="Q410" i="1"/>
  <c r="Q158" i="1"/>
  <c r="P158" i="1"/>
  <c r="O158" i="1"/>
  <c r="K158" i="1"/>
  <c r="N158" i="1"/>
  <c r="N347" i="1"/>
  <c r="M158" i="1"/>
  <c r="K95" i="1"/>
  <c r="L347" i="1"/>
  <c r="L158" i="1"/>
  <c r="T95" i="1"/>
  <c r="S95" i="1"/>
  <c r="K410" i="1"/>
  <c r="S284" i="1"/>
  <c r="Q95" i="1"/>
  <c r="L284" i="1"/>
  <c r="P95" i="1"/>
  <c r="U95" i="1"/>
  <c r="O95" i="1"/>
  <c r="K347" i="1"/>
  <c r="L95" i="1"/>
  <c r="N95" i="1"/>
  <c r="K284" i="1"/>
  <c r="M95" i="1"/>
  <c r="R95" i="1"/>
  <c r="J410" i="1"/>
  <c r="J221" i="1"/>
  <c r="G284" i="1"/>
  <c r="F410" i="1"/>
  <c r="H347" i="1"/>
  <c r="I284" i="1"/>
  <c r="I221" i="1"/>
  <c r="H284" i="1"/>
  <c r="E95" i="1"/>
  <c r="G158" i="1"/>
  <c r="G95" i="1"/>
  <c r="F347" i="1"/>
  <c r="J347" i="1"/>
  <c r="H221" i="1"/>
  <c r="F284" i="1"/>
  <c r="F158" i="1"/>
  <c r="F95" i="1"/>
  <c r="D347" i="1"/>
  <c r="J95" i="1"/>
  <c r="C347" i="1"/>
  <c r="H410" i="1"/>
  <c r="G410" i="1"/>
  <c r="F221" i="1"/>
  <c r="D410" i="1"/>
  <c r="D95" i="1"/>
  <c r="H95" i="1"/>
  <c r="E410" i="1"/>
  <c r="J284" i="1"/>
  <c r="D158" i="1"/>
  <c r="I347" i="1"/>
  <c r="I95" i="1"/>
  <c r="H158" i="1"/>
  <c r="C410" i="1"/>
  <c r="E347" i="1"/>
  <c r="I158" i="1"/>
  <c r="E284" i="1"/>
  <c r="G221" i="1"/>
  <c r="J158" i="1"/>
  <c r="G347" i="1"/>
  <c r="E221" i="1"/>
  <c r="E158" i="1"/>
  <c r="D284" i="1"/>
  <c r="D221" i="1"/>
  <c r="I410" i="1"/>
  <c r="A412" i="1"/>
  <c r="B411" i="1"/>
  <c r="B348" i="1"/>
  <c r="A349" i="1"/>
  <c r="B284" i="1"/>
  <c r="A285" i="1"/>
  <c r="B221" i="1"/>
  <c r="A222" i="1"/>
  <c r="B158" i="1"/>
  <c r="A159" i="1"/>
  <c r="A96" i="1"/>
  <c r="C221" i="1"/>
  <c r="C158" i="1"/>
  <c r="C284" i="1"/>
  <c r="C95" i="1"/>
  <c r="B95" i="1"/>
  <c r="Q411" i="1" l="1"/>
  <c r="U348" i="1"/>
  <c r="O411" i="1"/>
  <c r="P222" i="1"/>
  <c r="N411" i="1"/>
  <c r="O222" i="1"/>
  <c r="M411" i="1"/>
  <c r="T348" i="1"/>
  <c r="N222" i="1"/>
  <c r="L411" i="1"/>
  <c r="S348" i="1"/>
  <c r="M222" i="1"/>
  <c r="U285" i="1"/>
  <c r="R348" i="1"/>
  <c r="L222" i="1"/>
  <c r="Q348" i="1"/>
  <c r="N348" i="1"/>
  <c r="R159" i="1"/>
  <c r="M348" i="1"/>
  <c r="T285" i="1"/>
  <c r="Q159" i="1"/>
  <c r="L348" i="1"/>
  <c r="S285" i="1"/>
  <c r="P159" i="1"/>
  <c r="U411" i="1"/>
  <c r="U222" i="1"/>
  <c r="R285" i="1"/>
  <c r="O159" i="1"/>
  <c r="Q285" i="1"/>
  <c r="N159" i="1"/>
  <c r="P285" i="1"/>
  <c r="M159" i="1"/>
  <c r="O285" i="1"/>
  <c r="L159" i="1"/>
  <c r="N285" i="1"/>
  <c r="M285" i="1"/>
  <c r="P411" i="1"/>
  <c r="S222" i="1"/>
  <c r="S159" i="1"/>
  <c r="R96" i="1"/>
  <c r="R222" i="1"/>
  <c r="Q96" i="1"/>
  <c r="Q222" i="1"/>
  <c r="P96" i="1"/>
  <c r="K159" i="1"/>
  <c r="L96" i="1"/>
  <c r="O96" i="1"/>
  <c r="U159" i="1"/>
  <c r="P348" i="1"/>
  <c r="N96" i="1"/>
  <c r="O348" i="1"/>
  <c r="M96" i="1"/>
  <c r="K411" i="1"/>
  <c r="K96" i="1"/>
  <c r="L285" i="1"/>
  <c r="U96" i="1"/>
  <c r="K348" i="1"/>
  <c r="T411" i="1"/>
  <c r="S411" i="1"/>
  <c r="T159" i="1"/>
  <c r="K285" i="1"/>
  <c r="T96" i="1"/>
  <c r="R411" i="1"/>
  <c r="S96" i="1"/>
  <c r="K222" i="1"/>
  <c r="T222" i="1"/>
  <c r="G285" i="1"/>
  <c r="F411" i="1"/>
  <c r="H348" i="1"/>
  <c r="G96" i="1"/>
  <c r="I285" i="1"/>
  <c r="E222" i="1"/>
  <c r="I222" i="1"/>
  <c r="H285" i="1"/>
  <c r="J222" i="1"/>
  <c r="F96" i="1"/>
  <c r="E411" i="1"/>
  <c r="G159" i="1"/>
  <c r="F348" i="1"/>
  <c r="J348" i="1"/>
  <c r="H222" i="1"/>
  <c r="F285" i="1"/>
  <c r="J159" i="1"/>
  <c r="G222" i="1"/>
  <c r="F222" i="1"/>
  <c r="D348" i="1"/>
  <c r="J411" i="1"/>
  <c r="J96" i="1"/>
  <c r="H159" i="1"/>
  <c r="G348" i="1"/>
  <c r="E285" i="1"/>
  <c r="D159" i="1"/>
  <c r="G411" i="1"/>
  <c r="H411" i="1"/>
  <c r="D96" i="1"/>
  <c r="I348" i="1"/>
  <c r="I96" i="1"/>
  <c r="J285" i="1"/>
  <c r="H96" i="1"/>
  <c r="C348" i="1"/>
  <c r="I159" i="1"/>
  <c r="F159" i="1"/>
  <c r="E159" i="1"/>
  <c r="D285" i="1"/>
  <c r="E96" i="1"/>
  <c r="D222" i="1"/>
  <c r="E348" i="1"/>
  <c r="C411" i="1"/>
  <c r="I411" i="1"/>
  <c r="D411" i="1"/>
  <c r="A413" i="1"/>
  <c r="B412" i="1"/>
  <c r="A350" i="1"/>
  <c r="B349" i="1"/>
  <c r="A286" i="1"/>
  <c r="B285" i="1"/>
  <c r="A223" i="1"/>
  <c r="B222" i="1"/>
  <c r="A160" i="1"/>
  <c r="B159" i="1"/>
  <c r="A97" i="1"/>
  <c r="C285" i="1"/>
  <c r="C222" i="1"/>
  <c r="C96" i="1"/>
  <c r="C159" i="1"/>
  <c r="B96" i="1"/>
  <c r="O349" i="1" l="1"/>
  <c r="U349" i="1"/>
  <c r="M349" i="1"/>
  <c r="T286" i="1"/>
  <c r="L349" i="1"/>
  <c r="S286" i="1"/>
  <c r="R286" i="1"/>
  <c r="U286" i="1"/>
  <c r="Q286" i="1"/>
  <c r="P286" i="1"/>
  <c r="O286" i="1"/>
  <c r="L286" i="1"/>
  <c r="U412" i="1"/>
  <c r="U223" i="1"/>
  <c r="T412" i="1"/>
  <c r="S412" i="1"/>
  <c r="R412" i="1"/>
  <c r="T223" i="1"/>
  <c r="Q412" i="1"/>
  <c r="S223" i="1"/>
  <c r="R349" i="1"/>
  <c r="Q349" i="1"/>
  <c r="P349" i="1"/>
  <c r="K160" i="1"/>
  <c r="K97" i="1"/>
  <c r="U160" i="1"/>
  <c r="N349" i="1"/>
  <c r="K412" i="1"/>
  <c r="N286" i="1"/>
  <c r="M286" i="1"/>
  <c r="U97" i="1"/>
  <c r="T160" i="1"/>
  <c r="S97" i="1"/>
  <c r="K349" i="1"/>
  <c r="S160" i="1"/>
  <c r="R97" i="1"/>
  <c r="P412" i="1"/>
  <c r="R223" i="1"/>
  <c r="R160" i="1"/>
  <c r="Q97" i="1"/>
  <c r="M223" i="1"/>
  <c r="M160" i="1"/>
  <c r="L97" i="1"/>
  <c r="P160" i="1"/>
  <c r="L223" i="1"/>
  <c r="S349" i="1"/>
  <c r="O160" i="1"/>
  <c r="N160" i="1"/>
  <c r="L160" i="1"/>
  <c r="L412" i="1"/>
  <c r="T349" i="1"/>
  <c r="P223" i="1"/>
  <c r="O97" i="1"/>
  <c r="M412" i="1"/>
  <c r="T97" i="1"/>
  <c r="M97" i="1"/>
  <c r="K223" i="1"/>
  <c r="P97" i="1"/>
  <c r="O223" i="1"/>
  <c r="N223" i="1"/>
  <c r="K286" i="1"/>
  <c r="Q160" i="1"/>
  <c r="Q223" i="1"/>
  <c r="O412" i="1"/>
  <c r="N412" i="1"/>
  <c r="N97" i="1"/>
  <c r="H349" i="1"/>
  <c r="I412" i="1"/>
  <c r="I223" i="1"/>
  <c r="H160" i="1"/>
  <c r="J223" i="1"/>
  <c r="F97" i="1"/>
  <c r="H223" i="1"/>
  <c r="G223" i="1"/>
  <c r="G160" i="1"/>
  <c r="F349" i="1"/>
  <c r="J349" i="1"/>
  <c r="G97" i="1"/>
  <c r="C412" i="1"/>
  <c r="F286" i="1"/>
  <c r="D412" i="1"/>
  <c r="J160" i="1"/>
  <c r="F412" i="1"/>
  <c r="F223" i="1"/>
  <c r="E412" i="1"/>
  <c r="E286" i="1"/>
  <c r="D223" i="1"/>
  <c r="H286" i="1"/>
  <c r="D349" i="1"/>
  <c r="J412" i="1"/>
  <c r="J97" i="1"/>
  <c r="G412" i="1"/>
  <c r="H412" i="1"/>
  <c r="E349" i="1"/>
  <c r="I286" i="1"/>
  <c r="D160" i="1"/>
  <c r="I97" i="1"/>
  <c r="J286" i="1"/>
  <c r="D97" i="1"/>
  <c r="I349" i="1"/>
  <c r="H97" i="1"/>
  <c r="I160" i="1"/>
  <c r="E97" i="1"/>
  <c r="F160" i="1"/>
  <c r="E160" i="1"/>
  <c r="D286" i="1"/>
  <c r="E223" i="1"/>
  <c r="G349" i="1"/>
  <c r="C349" i="1"/>
  <c r="G286" i="1"/>
  <c r="A414" i="1"/>
  <c r="B413" i="1"/>
  <c r="A351" i="1"/>
  <c r="B350" i="1"/>
  <c r="A287" i="1"/>
  <c r="B286" i="1"/>
  <c r="B223" i="1"/>
  <c r="A224" i="1"/>
  <c r="B160" i="1"/>
  <c r="A161" i="1"/>
  <c r="A98" i="1"/>
  <c r="C97" i="1"/>
  <c r="C160" i="1"/>
  <c r="C223" i="1"/>
  <c r="C286" i="1"/>
  <c r="B97" i="1"/>
  <c r="U350" i="1" l="1"/>
  <c r="S413" i="1"/>
  <c r="M287" i="1"/>
  <c r="Q413" i="1"/>
  <c r="R224" i="1"/>
  <c r="P413" i="1"/>
  <c r="Q224" i="1"/>
  <c r="U287" i="1"/>
  <c r="O413" i="1"/>
  <c r="P224" i="1"/>
  <c r="N413" i="1"/>
  <c r="O224" i="1"/>
  <c r="M413" i="1"/>
  <c r="T350" i="1"/>
  <c r="N224" i="1"/>
  <c r="L413" i="1"/>
  <c r="S350" i="1"/>
  <c r="M224" i="1"/>
  <c r="T161" i="1"/>
  <c r="U413" i="1"/>
  <c r="U224" i="1"/>
  <c r="S161" i="1"/>
  <c r="R161" i="1"/>
  <c r="T413" i="1"/>
  <c r="Q161" i="1"/>
  <c r="R413" i="1"/>
  <c r="T224" i="1"/>
  <c r="P161" i="1"/>
  <c r="R350" i="1"/>
  <c r="S224" i="1"/>
  <c r="O161" i="1"/>
  <c r="Q350" i="1"/>
  <c r="L224" i="1"/>
  <c r="N161" i="1"/>
  <c r="P350" i="1"/>
  <c r="M161" i="1"/>
  <c r="O350" i="1"/>
  <c r="L161" i="1"/>
  <c r="S287" i="1"/>
  <c r="T98" i="1"/>
  <c r="R287" i="1"/>
  <c r="S98" i="1"/>
  <c r="K161" i="1"/>
  <c r="U161" i="1"/>
  <c r="Q287" i="1"/>
  <c r="R98" i="1"/>
  <c r="Q98" i="1"/>
  <c r="P287" i="1"/>
  <c r="O287" i="1"/>
  <c r="P98" i="1"/>
  <c r="N287" i="1"/>
  <c r="O98" i="1"/>
  <c r="K413" i="1"/>
  <c r="K98" i="1"/>
  <c r="L287" i="1"/>
  <c r="N98" i="1"/>
  <c r="M98" i="1"/>
  <c r="L98" i="1"/>
  <c r="U98" i="1"/>
  <c r="L350" i="1"/>
  <c r="T287" i="1"/>
  <c r="K287" i="1"/>
  <c r="N350" i="1"/>
  <c r="M350" i="1"/>
  <c r="K350" i="1"/>
  <c r="K224" i="1"/>
  <c r="H350" i="1"/>
  <c r="G98" i="1"/>
  <c r="I413" i="1"/>
  <c r="I224" i="1"/>
  <c r="H161" i="1"/>
  <c r="J287" i="1"/>
  <c r="F287" i="1"/>
  <c r="H287" i="1"/>
  <c r="G287" i="1"/>
  <c r="D413" i="1"/>
  <c r="J224" i="1"/>
  <c r="H224" i="1"/>
  <c r="G224" i="1"/>
  <c r="J161" i="1"/>
  <c r="F413" i="1"/>
  <c r="J350" i="1"/>
  <c r="F224" i="1"/>
  <c r="E287" i="1"/>
  <c r="F161" i="1"/>
  <c r="J413" i="1"/>
  <c r="J98" i="1"/>
  <c r="H413" i="1"/>
  <c r="G413" i="1"/>
  <c r="F98" i="1"/>
  <c r="G350" i="1"/>
  <c r="D287" i="1"/>
  <c r="C350" i="1"/>
  <c r="D98" i="1"/>
  <c r="H98" i="1"/>
  <c r="E98" i="1"/>
  <c r="D161" i="1"/>
  <c r="D350" i="1"/>
  <c r="I350" i="1"/>
  <c r="I98" i="1"/>
  <c r="I161" i="1"/>
  <c r="E224" i="1"/>
  <c r="F350" i="1"/>
  <c r="G161" i="1"/>
  <c r="E161" i="1"/>
  <c r="D224" i="1"/>
  <c r="E413" i="1"/>
  <c r="E350" i="1"/>
  <c r="I287" i="1"/>
  <c r="C413" i="1"/>
  <c r="A415" i="1"/>
  <c r="B414" i="1"/>
  <c r="B351" i="1"/>
  <c r="A352" i="1"/>
  <c r="B287" i="1"/>
  <c r="A288" i="1"/>
  <c r="A225" i="1"/>
  <c r="B224" i="1"/>
  <c r="A162" i="1"/>
  <c r="B161" i="1"/>
  <c r="A99" i="1"/>
  <c r="C224" i="1"/>
  <c r="C98" i="1"/>
  <c r="C161" i="1"/>
  <c r="C287" i="1"/>
  <c r="B98" i="1"/>
  <c r="Q351" i="1" l="1"/>
  <c r="O351" i="1"/>
  <c r="U288" i="1"/>
  <c r="N351" i="1"/>
  <c r="M351" i="1"/>
  <c r="T288" i="1"/>
  <c r="L351" i="1"/>
  <c r="S288" i="1"/>
  <c r="R288" i="1"/>
  <c r="U225" i="1"/>
  <c r="Q288" i="1"/>
  <c r="U414" i="1"/>
  <c r="N414" i="1"/>
  <c r="O225" i="1"/>
  <c r="M414" i="1"/>
  <c r="T351" i="1"/>
  <c r="N225" i="1"/>
  <c r="L414" i="1"/>
  <c r="S351" i="1"/>
  <c r="M225" i="1"/>
  <c r="R351" i="1"/>
  <c r="L225" i="1"/>
  <c r="P351" i="1"/>
  <c r="P288" i="1"/>
  <c r="O288" i="1"/>
  <c r="N288" i="1"/>
  <c r="M288" i="1"/>
  <c r="K162" i="1"/>
  <c r="U162" i="1"/>
  <c r="T162" i="1"/>
  <c r="S162" i="1"/>
  <c r="R162" i="1"/>
  <c r="Q162" i="1"/>
  <c r="K414" i="1"/>
  <c r="K99" i="1"/>
  <c r="P162" i="1"/>
  <c r="T414" i="1"/>
  <c r="O162" i="1"/>
  <c r="S414" i="1"/>
  <c r="T225" i="1"/>
  <c r="N162" i="1"/>
  <c r="U99" i="1"/>
  <c r="R414" i="1"/>
  <c r="S225" i="1"/>
  <c r="M162" i="1"/>
  <c r="K351" i="1"/>
  <c r="Q414" i="1"/>
  <c r="P414" i="1"/>
  <c r="Q225" i="1"/>
  <c r="O414" i="1"/>
  <c r="P225" i="1"/>
  <c r="T99" i="1"/>
  <c r="S99" i="1"/>
  <c r="K288" i="1"/>
  <c r="N99" i="1"/>
  <c r="Q99" i="1"/>
  <c r="R99" i="1"/>
  <c r="P99" i="1"/>
  <c r="K225" i="1"/>
  <c r="O99" i="1"/>
  <c r="L288" i="1"/>
  <c r="U351" i="1"/>
  <c r="M99" i="1"/>
  <c r="L162" i="1"/>
  <c r="R225" i="1"/>
  <c r="L99" i="1"/>
  <c r="G99" i="1"/>
  <c r="I414" i="1"/>
  <c r="I225" i="1"/>
  <c r="H162" i="1"/>
  <c r="J288" i="1"/>
  <c r="G351" i="1"/>
  <c r="J225" i="1"/>
  <c r="F99" i="1"/>
  <c r="J162" i="1"/>
  <c r="F414" i="1"/>
  <c r="F225" i="1"/>
  <c r="H225" i="1"/>
  <c r="F288" i="1"/>
  <c r="E288" i="1"/>
  <c r="G225" i="1"/>
  <c r="F162" i="1"/>
  <c r="I288" i="1"/>
  <c r="J414" i="1"/>
  <c r="J99" i="1"/>
  <c r="H414" i="1"/>
  <c r="G414" i="1"/>
  <c r="G162" i="1"/>
  <c r="D162" i="1"/>
  <c r="E162" i="1"/>
  <c r="I162" i="1"/>
  <c r="D351" i="1"/>
  <c r="E99" i="1"/>
  <c r="E225" i="1"/>
  <c r="I351" i="1"/>
  <c r="I99" i="1"/>
  <c r="H99" i="1"/>
  <c r="F351" i="1"/>
  <c r="C414" i="1"/>
  <c r="D414" i="1"/>
  <c r="H288" i="1"/>
  <c r="D225" i="1"/>
  <c r="D99" i="1"/>
  <c r="G288" i="1"/>
  <c r="D288" i="1"/>
  <c r="E351" i="1"/>
  <c r="E414" i="1"/>
  <c r="J351" i="1"/>
  <c r="C351" i="1"/>
  <c r="H351" i="1"/>
  <c r="A416" i="1"/>
  <c r="B415" i="1"/>
  <c r="B352" i="1"/>
  <c r="A353" i="1"/>
  <c r="A289" i="1"/>
  <c r="B288" i="1"/>
  <c r="B225" i="1"/>
  <c r="A226" i="1"/>
  <c r="A163" i="1"/>
  <c r="B162" i="1"/>
  <c r="A100" i="1"/>
  <c r="C288" i="1"/>
  <c r="C99" i="1"/>
  <c r="C162" i="1"/>
  <c r="C225" i="1"/>
  <c r="B99" i="1"/>
  <c r="O289" i="1" l="1"/>
  <c r="U289" i="1"/>
  <c r="S415" i="1"/>
  <c r="M289" i="1"/>
  <c r="T226" i="1"/>
  <c r="R415" i="1"/>
  <c r="L289" i="1"/>
  <c r="S226" i="1"/>
  <c r="Q415" i="1"/>
  <c r="R226" i="1"/>
  <c r="P415" i="1"/>
  <c r="Q226" i="1"/>
  <c r="U226" i="1"/>
  <c r="O415" i="1"/>
  <c r="P226" i="1"/>
  <c r="N415" i="1"/>
  <c r="O226" i="1"/>
  <c r="L352" i="1"/>
  <c r="S289" i="1"/>
  <c r="R289" i="1"/>
  <c r="Q289" i="1"/>
  <c r="T163" i="1"/>
  <c r="P289" i="1"/>
  <c r="S163" i="1"/>
  <c r="N289" i="1"/>
  <c r="R163" i="1"/>
  <c r="Q163" i="1"/>
  <c r="P163" i="1"/>
  <c r="O163" i="1"/>
  <c r="N163" i="1"/>
  <c r="U163" i="1"/>
  <c r="L163" i="1"/>
  <c r="T100" i="1"/>
  <c r="P100" i="1"/>
  <c r="T415" i="1"/>
  <c r="S100" i="1"/>
  <c r="K415" i="1"/>
  <c r="K100" i="1"/>
  <c r="M415" i="1"/>
  <c r="N226" i="1"/>
  <c r="R100" i="1"/>
  <c r="L415" i="1"/>
  <c r="M226" i="1"/>
  <c r="Q100" i="1"/>
  <c r="L226" i="1"/>
  <c r="U100" i="1"/>
  <c r="T352" i="1"/>
  <c r="O100" i="1"/>
  <c r="K352" i="1"/>
  <c r="S352" i="1"/>
  <c r="N100" i="1"/>
  <c r="R352" i="1"/>
  <c r="Q352" i="1"/>
  <c r="L100" i="1"/>
  <c r="U415" i="1"/>
  <c r="P352" i="1"/>
  <c r="K289" i="1"/>
  <c r="O352" i="1"/>
  <c r="T289" i="1"/>
  <c r="M352" i="1"/>
  <c r="M100" i="1"/>
  <c r="K226" i="1"/>
  <c r="K163" i="1"/>
  <c r="U352" i="1"/>
  <c r="N352" i="1"/>
  <c r="M163" i="1"/>
  <c r="I415" i="1"/>
  <c r="I226" i="1"/>
  <c r="H163" i="1"/>
  <c r="J289" i="1"/>
  <c r="F289" i="1"/>
  <c r="G352" i="1"/>
  <c r="J100" i="1"/>
  <c r="H226" i="1"/>
  <c r="G226" i="1"/>
  <c r="J163" i="1"/>
  <c r="F226" i="1"/>
  <c r="G163" i="1"/>
  <c r="G100" i="1"/>
  <c r="E289" i="1"/>
  <c r="D226" i="1"/>
  <c r="F415" i="1"/>
  <c r="F163" i="1"/>
  <c r="I289" i="1"/>
  <c r="E163" i="1"/>
  <c r="G289" i="1"/>
  <c r="J415" i="1"/>
  <c r="H415" i="1"/>
  <c r="G415" i="1"/>
  <c r="F100" i="1"/>
  <c r="D163" i="1"/>
  <c r="E352" i="1"/>
  <c r="J352" i="1"/>
  <c r="I163" i="1"/>
  <c r="E226" i="1"/>
  <c r="J226" i="1"/>
  <c r="I352" i="1"/>
  <c r="I100" i="1"/>
  <c r="D352" i="1"/>
  <c r="H100" i="1"/>
  <c r="E100" i="1"/>
  <c r="F352" i="1"/>
  <c r="H289" i="1"/>
  <c r="D289" i="1"/>
  <c r="C415" i="1"/>
  <c r="D415" i="1"/>
  <c r="E415" i="1"/>
  <c r="C352" i="1"/>
  <c r="H352" i="1"/>
  <c r="D100" i="1"/>
  <c r="A417" i="1"/>
  <c r="B416" i="1"/>
  <c r="A354" i="1"/>
  <c r="B353" i="1"/>
  <c r="B289" i="1"/>
  <c r="A290" i="1"/>
  <c r="A227" i="1"/>
  <c r="B226" i="1"/>
  <c r="A164" i="1"/>
  <c r="B163" i="1"/>
  <c r="A101" i="1"/>
  <c r="C100" i="1"/>
  <c r="C163" i="1"/>
  <c r="C226" i="1"/>
  <c r="C289" i="1"/>
  <c r="B100" i="1"/>
  <c r="L416" i="1" l="1"/>
  <c r="S353" i="1"/>
  <c r="U290" i="1"/>
  <c r="Q353" i="1"/>
  <c r="P353" i="1"/>
  <c r="O353" i="1"/>
  <c r="U227" i="1"/>
  <c r="N353" i="1"/>
  <c r="M353" i="1"/>
  <c r="T290" i="1"/>
  <c r="L353" i="1"/>
  <c r="S290" i="1"/>
  <c r="M164" i="1"/>
  <c r="L164" i="1"/>
  <c r="T416" i="1"/>
  <c r="T227" i="1"/>
  <c r="S416" i="1"/>
  <c r="S227" i="1"/>
  <c r="R416" i="1"/>
  <c r="R227" i="1"/>
  <c r="Q416" i="1"/>
  <c r="Q227" i="1"/>
  <c r="P416" i="1"/>
  <c r="P227" i="1"/>
  <c r="O416" i="1"/>
  <c r="O227" i="1"/>
  <c r="M101" i="1"/>
  <c r="N416" i="1"/>
  <c r="N227" i="1"/>
  <c r="L101" i="1"/>
  <c r="M416" i="1"/>
  <c r="M227" i="1"/>
  <c r="K416" i="1"/>
  <c r="K101" i="1"/>
  <c r="K353" i="1"/>
  <c r="L227" i="1"/>
  <c r="T353" i="1"/>
  <c r="U101" i="1"/>
  <c r="R353" i="1"/>
  <c r="U416" i="1"/>
  <c r="R290" i="1"/>
  <c r="K290" i="1"/>
  <c r="Q290" i="1"/>
  <c r="P290" i="1"/>
  <c r="T164" i="1"/>
  <c r="U353" i="1"/>
  <c r="O164" i="1"/>
  <c r="P101" i="1"/>
  <c r="O101" i="1"/>
  <c r="P164" i="1"/>
  <c r="R101" i="1"/>
  <c r="N101" i="1"/>
  <c r="K227" i="1"/>
  <c r="Q101" i="1"/>
  <c r="L290" i="1"/>
  <c r="O290" i="1"/>
  <c r="M290" i="1"/>
  <c r="S101" i="1"/>
  <c r="N290" i="1"/>
  <c r="U164" i="1"/>
  <c r="S164" i="1"/>
  <c r="R164" i="1"/>
  <c r="Q164" i="1"/>
  <c r="K164" i="1"/>
  <c r="N164" i="1"/>
  <c r="T101" i="1"/>
  <c r="J290" i="1"/>
  <c r="G353" i="1"/>
  <c r="J101" i="1"/>
  <c r="G164" i="1"/>
  <c r="F101" i="1"/>
  <c r="J164" i="1"/>
  <c r="F416" i="1"/>
  <c r="I164" i="1"/>
  <c r="F353" i="1"/>
  <c r="H227" i="1"/>
  <c r="F290" i="1"/>
  <c r="F227" i="1"/>
  <c r="F164" i="1"/>
  <c r="I290" i="1"/>
  <c r="G227" i="1"/>
  <c r="E164" i="1"/>
  <c r="H290" i="1"/>
  <c r="J416" i="1"/>
  <c r="D416" i="1"/>
  <c r="H416" i="1"/>
  <c r="G416" i="1"/>
  <c r="E416" i="1"/>
  <c r="D164" i="1"/>
  <c r="E353" i="1"/>
  <c r="J353" i="1"/>
  <c r="I227" i="1"/>
  <c r="D290" i="1"/>
  <c r="H353" i="1"/>
  <c r="J227" i="1"/>
  <c r="I353" i="1"/>
  <c r="I101" i="1"/>
  <c r="D353" i="1"/>
  <c r="H164" i="1"/>
  <c r="H101" i="1"/>
  <c r="E101" i="1"/>
  <c r="E227" i="1"/>
  <c r="C353" i="1"/>
  <c r="G290" i="1"/>
  <c r="G101" i="1"/>
  <c r="E290" i="1"/>
  <c r="D227" i="1"/>
  <c r="C416" i="1"/>
  <c r="I416" i="1"/>
  <c r="D101" i="1"/>
  <c r="B417" i="1"/>
  <c r="A418" i="1"/>
  <c r="B354" i="1"/>
  <c r="A355" i="1"/>
  <c r="A291" i="1"/>
  <c r="B290" i="1"/>
  <c r="A228" i="1"/>
  <c r="B227" i="1"/>
  <c r="A165" i="1"/>
  <c r="B164" i="1"/>
  <c r="A102" i="1"/>
  <c r="C101" i="1"/>
  <c r="C164" i="1"/>
  <c r="B101" i="1"/>
  <c r="C227" i="1"/>
  <c r="C290" i="1"/>
  <c r="U291" i="1" l="1"/>
  <c r="Q291" i="1"/>
  <c r="O291" i="1"/>
  <c r="T417" i="1"/>
  <c r="N291" i="1"/>
  <c r="U228" i="1"/>
  <c r="S417" i="1"/>
  <c r="M291" i="1"/>
  <c r="T228" i="1"/>
  <c r="R417" i="1"/>
  <c r="L291" i="1"/>
  <c r="S228" i="1"/>
  <c r="Q417" i="1"/>
  <c r="R228" i="1"/>
  <c r="P417" i="1"/>
  <c r="Q228" i="1"/>
  <c r="N417" i="1"/>
  <c r="N228" i="1"/>
  <c r="M417" i="1"/>
  <c r="T354" i="1"/>
  <c r="M228" i="1"/>
  <c r="L417" i="1"/>
  <c r="S354" i="1"/>
  <c r="L228" i="1"/>
  <c r="R354" i="1"/>
  <c r="Q354" i="1"/>
  <c r="T165" i="1"/>
  <c r="P354" i="1"/>
  <c r="S165" i="1"/>
  <c r="O354" i="1"/>
  <c r="R165" i="1"/>
  <c r="N354" i="1"/>
  <c r="Q165" i="1"/>
  <c r="M354" i="1"/>
  <c r="T291" i="1"/>
  <c r="P165" i="1"/>
  <c r="O417" i="1"/>
  <c r="O228" i="1"/>
  <c r="K417" i="1"/>
  <c r="K102" i="1"/>
  <c r="L354" i="1"/>
  <c r="T102" i="1"/>
  <c r="U102" i="1"/>
  <c r="S102" i="1"/>
  <c r="K354" i="1"/>
  <c r="R102" i="1"/>
  <c r="P102" i="1"/>
  <c r="U417" i="1"/>
  <c r="S291" i="1"/>
  <c r="Q102" i="1"/>
  <c r="R291" i="1"/>
  <c r="O165" i="1"/>
  <c r="P291" i="1"/>
  <c r="M165" i="1"/>
  <c r="N102" i="1"/>
  <c r="L165" i="1"/>
  <c r="M102" i="1"/>
  <c r="L102" i="1"/>
  <c r="K165" i="1"/>
  <c r="K228" i="1"/>
  <c r="U354" i="1"/>
  <c r="O102" i="1"/>
  <c r="P228" i="1"/>
  <c r="U165" i="1"/>
  <c r="K291" i="1"/>
  <c r="N165" i="1"/>
  <c r="G354" i="1"/>
  <c r="J102" i="1"/>
  <c r="I228" i="1"/>
  <c r="F228" i="1"/>
  <c r="E291" i="1"/>
  <c r="I165" i="1"/>
  <c r="G165" i="1"/>
  <c r="F354" i="1"/>
  <c r="F165" i="1"/>
  <c r="I291" i="1"/>
  <c r="G228" i="1"/>
  <c r="F417" i="1"/>
  <c r="E165" i="1"/>
  <c r="J165" i="1"/>
  <c r="H291" i="1"/>
  <c r="J417" i="1"/>
  <c r="F102" i="1"/>
  <c r="I354" i="1"/>
  <c r="H354" i="1"/>
  <c r="H417" i="1"/>
  <c r="H228" i="1"/>
  <c r="G417" i="1"/>
  <c r="D165" i="1"/>
  <c r="C417" i="1"/>
  <c r="E354" i="1"/>
  <c r="H165" i="1"/>
  <c r="J354" i="1"/>
  <c r="D417" i="1"/>
  <c r="D291" i="1"/>
  <c r="E417" i="1"/>
  <c r="I102" i="1"/>
  <c r="D354" i="1"/>
  <c r="J291" i="1"/>
  <c r="H102" i="1"/>
  <c r="E102" i="1"/>
  <c r="I417" i="1"/>
  <c r="E228" i="1"/>
  <c r="D102" i="1"/>
  <c r="J228" i="1"/>
  <c r="G102" i="1"/>
  <c r="C354" i="1"/>
  <c r="D228" i="1"/>
  <c r="G291" i="1"/>
  <c r="F291" i="1"/>
  <c r="A419" i="1"/>
  <c r="B418" i="1"/>
  <c r="A356" i="1"/>
  <c r="B355" i="1"/>
  <c r="B291" i="1"/>
  <c r="A292" i="1"/>
  <c r="B228" i="1"/>
  <c r="A229" i="1"/>
  <c r="A166" i="1"/>
  <c r="B165" i="1"/>
  <c r="A103" i="1"/>
  <c r="C291" i="1"/>
  <c r="B102" i="1"/>
  <c r="C102" i="1"/>
  <c r="C165" i="1"/>
  <c r="C228" i="1"/>
  <c r="N418" i="1" l="1"/>
  <c r="L418" i="1"/>
  <c r="S355" i="1"/>
  <c r="M229" i="1"/>
  <c r="U229" i="1"/>
  <c r="R355" i="1"/>
  <c r="L229" i="1"/>
  <c r="Q355" i="1"/>
  <c r="P355" i="1"/>
  <c r="O355" i="1"/>
  <c r="U166" i="1"/>
  <c r="N355" i="1"/>
  <c r="L355" i="1"/>
  <c r="S292" i="1"/>
  <c r="O166" i="1"/>
  <c r="R292" i="1"/>
  <c r="N166" i="1"/>
  <c r="Q292" i="1"/>
  <c r="M166" i="1"/>
  <c r="P292" i="1"/>
  <c r="L166" i="1"/>
  <c r="O292" i="1"/>
  <c r="N292" i="1"/>
  <c r="M292" i="1"/>
  <c r="L292" i="1"/>
  <c r="U292" i="1"/>
  <c r="U103" i="1"/>
  <c r="O103" i="1"/>
  <c r="K418" i="1"/>
  <c r="K103" i="1"/>
  <c r="N103" i="1"/>
  <c r="T355" i="1"/>
  <c r="M103" i="1"/>
  <c r="M355" i="1"/>
  <c r="T166" i="1"/>
  <c r="L103" i="1"/>
  <c r="S166" i="1"/>
  <c r="K355" i="1"/>
  <c r="R166" i="1"/>
  <c r="T292" i="1"/>
  <c r="Q166" i="1"/>
  <c r="P166" i="1"/>
  <c r="U418" i="1"/>
  <c r="K292" i="1"/>
  <c r="T229" i="1"/>
  <c r="K229" i="1"/>
  <c r="P418" i="1"/>
  <c r="O229" i="1"/>
  <c r="R103" i="1"/>
  <c r="S229" i="1"/>
  <c r="U355" i="1"/>
  <c r="R229" i="1"/>
  <c r="Q229" i="1"/>
  <c r="T418" i="1"/>
  <c r="P229" i="1"/>
  <c r="S103" i="1"/>
  <c r="S418" i="1"/>
  <c r="N229" i="1"/>
  <c r="R418" i="1"/>
  <c r="T103" i="1"/>
  <c r="Q103" i="1"/>
  <c r="K166" i="1"/>
  <c r="P103" i="1"/>
  <c r="Q418" i="1"/>
  <c r="O418" i="1"/>
  <c r="M418" i="1"/>
  <c r="J103" i="1"/>
  <c r="G166" i="1"/>
  <c r="F103" i="1"/>
  <c r="I292" i="1"/>
  <c r="H418" i="1"/>
  <c r="H229" i="1"/>
  <c r="H166" i="1"/>
  <c r="G229" i="1"/>
  <c r="F418" i="1"/>
  <c r="F229" i="1"/>
  <c r="E418" i="1"/>
  <c r="E166" i="1"/>
  <c r="J166" i="1"/>
  <c r="H292" i="1"/>
  <c r="J418" i="1"/>
  <c r="D292" i="1"/>
  <c r="G292" i="1"/>
  <c r="J229" i="1"/>
  <c r="D166" i="1"/>
  <c r="E355" i="1"/>
  <c r="J355" i="1"/>
  <c r="I229" i="1"/>
  <c r="G355" i="1"/>
  <c r="E229" i="1"/>
  <c r="F355" i="1"/>
  <c r="E103" i="1"/>
  <c r="J292" i="1"/>
  <c r="I355" i="1"/>
  <c r="H103" i="1"/>
  <c r="C418" i="1"/>
  <c r="I166" i="1"/>
  <c r="D418" i="1"/>
  <c r="G103" i="1"/>
  <c r="G418" i="1"/>
  <c r="I418" i="1"/>
  <c r="D229" i="1"/>
  <c r="D355" i="1"/>
  <c r="F166" i="1"/>
  <c r="C355" i="1"/>
  <c r="D103" i="1"/>
  <c r="F292" i="1"/>
  <c r="H355" i="1"/>
  <c r="I103" i="1"/>
  <c r="E292" i="1"/>
  <c r="A420" i="1"/>
  <c r="B419" i="1"/>
  <c r="A357" i="1"/>
  <c r="B356" i="1"/>
  <c r="A293" i="1"/>
  <c r="B292" i="1"/>
  <c r="A230" i="1"/>
  <c r="B229" i="1"/>
  <c r="A167" i="1"/>
  <c r="B166" i="1"/>
  <c r="A104" i="1"/>
  <c r="C103" i="1"/>
  <c r="C166" i="1"/>
  <c r="C229" i="1"/>
  <c r="C292" i="1"/>
  <c r="B103" i="1"/>
  <c r="L356" i="1" l="1"/>
  <c r="S293" i="1"/>
  <c r="U230" i="1"/>
  <c r="Q293" i="1"/>
  <c r="P293" i="1"/>
  <c r="O293" i="1"/>
  <c r="T419" i="1"/>
  <c r="N293" i="1"/>
  <c r="U167" i="1"/>
  <c r="S419" i="1"/>
  <c r="M293" i="1"/>
  <c r="T230" i="1"/>
  <c r="R419" i="1"/>
  <c r="L293" i="1"/>
  <c r="S230" i="1"/>
  <c r="R230" i="1"/>
  <c r="Q230" i="1"/>
  <c r="Q419" i="1"/>
  <c r="P230" i="1"/>
  <c r="T167" i="1"/>
  <c r="U293" i="1"/>
  <c r="U104" i="1"/>
  <c r="P419" i="1"/>
  <c r="O230" i="1"/>
  <c r="S167" i="1"/>
  <c r="O419" i="1"/>
  <c r="N230" i="1"/>
  <c r="R167" i="1"/>
  <c r="N356" i="1"/>
  <c r="N167" i="1"/>
  <c r="M356" i="1"/>
  <c r="M167" i="1"/>
  <c r="L167" i="1"/>
  <c r="K356" i="1"/>
  <c r="T104" i="1"/>
  <c r="T293" i="1"/>
  <c r="R293" i="1"/>
  <c r="U419" i="1"/>
  <c r="S104" i="1"/>
  <c r="K293" i="1"/>
  <c r="R104" i="1"/>
  <c r="N419" i="1"/>
  <c r="M230" i="1"/>
  <c r="P104" i="1"/>
  <c r="M419" i="1"/>
  <c r="L230" i="1"/>
  <c r="O104" i="1"/>
  <c r="K230" i="1"/>
  <c r="L419" i="1"/>
  <c r="N104" i="1"/>
  <c r="Q356" i="1"/>
  <c r="Q167" i="1"/>
  <c r="K104" i="1"/>
  <c r="L104" i="1"/>
  <c r="U356" i="1"/>
  <c r="R356" i="1"/>
  <c r="P356" i="1"/>
  <c r="O356" i="1"/>
  <c r="S356" i="1"/>
  <c r="P167" i="1"/>
  <c r="M104" i="1"/>
  <c r="O167" i="1"/>
  <c r="K167" i="1"/>
  <c r="K419" i="1"/>
  <c r="T356" i="1"/>
  <c r="Q104" i="1"/>
  <c r="G167" i="1"/>
  <c r="I293" i="1"/>
  <c r="H419" i="1"/>
  <c r="H230" i="1"/>
  <c r="J356" i="1"/>
  <c r="F356" i="1"/>
  <c r="I167" i="1"/>
  <c r="H167" i="1"/>
  <c r="J104" i="1"/>
  <c r="I104" i="1"/>
  <c r="J419" i="1"/>
  <c r="J167" i="1"/>
  <c r="H293" i="1"/>
  <c r="C419" i="1"/>
  <c r="D419" i="1"/>
  <c r="G293" i="1"/>
  <c r="F104" i="1"/>
  <c r="E419" i="1"/>
  <c r="G356" i="1"/>
  <c r="E356" i="1"/>
  <c r="I230" i="1"/>
  <c r="F419" i="1"/>
  <c r="D293" i="1"/>
  <c r="H356" i="1"/>
  <c r="E230" i="1"/>
  <c r="E293" i="1"/>
  <c r="J293" i="1"/>
  <c r="H104" i="1"/>
  <c r="I419" i="1"/>
  <c r="E104" i="1"/>
  <c r="D167" i="1"/>
  <c r="D230" i="1"/>
  <c r="F230" i="1"/>
  <c r="G419" i="1"/>
  <c r="F167" i="1"/>
  <c r="G104" i="1"/>
  <c r="J230" i="1"/>
  <c r="G230" i="1"/>
  <c r="D356" i="1"/>
  <c r="F293" i="1"/>
  <c r="E167" i="1"/>
  <c r="C356" i="1"/>
  <c r="D104" i="1"/>
  <c r="I356" i="1"/>
  <c r="A421" i="1"/>
  <c r="B420" i="1"/>
  <c r="B357" i="1"/>
  <c r="A358" i="1"/>
  <c r="A294" i="1"/>
  <c r="B293" i="1"/>
  <c r="A231" i="1"/>
  <c r="B230" i="1"/>
  <c r="B167" i="1"/>
  <c r="A168" i="1"/>
  <c r="A105" i="1"/>
  <c r="C167" i="1"/>
  <c r="C293" i="1"/>
  <c r="C230" i="1"/>
  <c r="C104" i="1"/>
  <c r="B104" i="1"/>
  <c r="P420" i="1" l="1"/>
  <c r="U231" i="1"/>
  <c r="N420" i="1"/>
  <c r="O231" i="1"/>
  <c r="M420" i="1"/>
  <c r="T357" i="1"/>
  <c r="N231" i="1"/>
  <c r="L420" i="1"/>
  <c r="S357" i="1"/>
  <c r="M231" i="1"/>
  <c r="U168" i="1"/>
  <c r="R357" i="1"/>
  <c r="L231" i="1"/>
  <c r="Q357" i="1"/>
  <c r="P357" i="1"/>
  <c r="S231" i="1"/>
  <c r="Q168" i="1"/>
  <c r="T420" i="1"/>
  <c r="R231" i="1"/>
  <c r="P168" i="1"/>
  <c r="S420" i="1"/>
  <c r="Q231" i="1"/>
  <c r="O168" i="1"/>
  <c r="R420" i="1"/>
  <c r="P231" i="1"/>
  <c r="N168" i="1"/>
  <c r="Q420" i="1"/>
  <c r="M168" i="1"/>
  <c r="T105" i="1"/>
  <c r="O420" i="1"/>
  <c r="L168" i="1"/>
  <c r="S105" i="1"/>
  <c r="U294" i="1"/>
  <c r="U105" i="1"/>
  <c r="O357" i="1"/>
  <c r="R105" i="1"/>
  <c r="N357" i="1"/>
  <c r="Q105" i="1"/>
  <c r="M357" i="1"/>
  <c r="T294" i="1"/>
  <c r="O294" i="1"/>
  <c r="N294" i="1"/>
  <c r="P105" i="1"/>
  <c r="M294" i="1"/>
  <c r="O105" i="1"/>
  <c r="K357" i="1"/>
  <c r="L294" i="1"/>
  <c r="N105" i="1"/>
  <c r="M105" i="1"/>
  <c r="L105" i="1"/>
  <c r="U420" i="1"/>
  <c r="K294" i="1"/>
  <c r="K231" i="1"/>
  <c r="R294" i="1"/>
  <c r="U357" i="1"/>
  <c r="T231" i="1"/>
  <c r="K105" i="1"/>
  <c r="S294" i="1"/>
  <c r="P294" i="1"/>
  <c r="K420" i="1"/>
  <c r="T168" i="1"/>
  <c r="L357" i="1"/>
  <c r="S168" i="1"/>
  <c r="K168" i="1"/>
  <c r="Q294" i="1"/>
  <c r="R168" i="1"/>
  <c r="I294" i="1"/>
  <c r="H420" i="1"/>
  <c r="H231" i="1"/>
  <c r="J357" i="1"/>
  <c r="F357" i="1"/>
  <c r="C420" i="1"/>
  <c r="E105" i="1"/>
  <c r="J105" i="1"/>
  <c r="I105" i="1"/>
  <c r="H105" i="1"/>
  <c r="H294" i="1"/>
  <c r="J420" i="1"/>
  <c r="G294" i="1"/>
  <c r="F105" i="1"/>
  <c r="I357" i="1"/>
  <c r="H357" i="1"/>
  <c r="I231" i="1"/>
  <c r="F420" i="1"/>
  <c r="D294" i="1"/>
  <c r="I168" i="1"/>
  <c r="E231" i="1"/>
  <c r="G357" i="1"/>
  <c r="G168" i="1"/>
  <c r="E294" i="1"/>
  <c r="H168" i="1"/>
  <c r="I420" i="1"/>
  <c r="D420" i="1"/>
  <c r="D168" i="1"/>
  <c r="D231" i="1"/>
  <c r="F294" i="1"/>
  <c r="G420" i="1"/>
  <c r="E420" i="1"/>
  <c r="G105" i="1"/>
  <c r="J294" i="1"/>
  <c r="F231" i="1"/>
  <c r="F168" i="1"/>
  <c r="E357" i="1"/>
  <c r="E168" i="1"/>
  <c r="C357" i="1"/>
  <c r="J231" i="1"/>
  <c r="G231" i="1"/>
  <c r="D357" i="1"/>
  <c r="D105" i="1"/>
  <c r="J168" i="1"/>
  <c r="A422" i="1"/>
  <c r="B421" i="1"/>
  <c r="A359" i="1"/>
  <c r="B358" i="1"/>
  <c r="B294" i="1"/>
  <c r="A295" i="1"/>
  <c r="A232" i="1"/>
  <c r="B231" i="1"/>
  <c r="A169" i="1"/>
  <c r="B168" i="1"/>
  <c r="A106" i="1"/>
  <c r="C294" i="1"/>
  <c r="C231" i="1"/>
  <c r="C168" i="1"/>
  <c r="C105" i="1"/>
  <c r="B105" i="1"/>
  <c r="U232" i="1" l="1"/>
  <c r="N358" i="1"/>
  <c r="L358" i="1"/>
  <c r="S295" i="1"/>
  <c r="R295" i="1"/>
  <c r="U169" i="1"/>
  <c r="Q295" i="1"/>
  <c r="P295" i="1"/>
  <c r="O295" i="1"/>
  <c r="T421" i="1"/>
  <c r="N295" i="1"/>
  <c r="L421" i="1"/>
  <c r="S358" i="1"/>
  <c r="O106" i="1"/>
  <c r="R358" i="1"/>
  <c r="Q358" i="1"/>
  <c r="M106" i="1"/>
  <c r="P358" i="1"/>
  <c r="L106" i="1"/>
  <c r="O358" i="1"/>
  <c r="U295" i="1"/>
  <c r="U106" i="1"/>
  <c r="M358" i="1"/>
  <c r="T295" i="1"/>
  <c r="M295" i="1"/>
  <c r="L295" i="1"/>
  <c r="T169" i="1"/>
  <c r="T232" i="1"/>
  <c r="N106" i="1"/>
  <c r="S232" i="1"/>
  <c r="K358" i="1"/>
  <c r="R232" i="1"/>
  <c r="S421" i="1"/>
  <c r="Q232" i="1"/>
  <c r="R421" i="1"/>
  <c r="P232" i="1"/>
  <c r="U421" i="1"/>
  <c r="Q421" i="1"/>
  <c r="O232" i="1"/>
  <c r="K295" i="1"/>
  <c r="P421" i="1"/>
  <c r="N232" i="1"/>
  <c r="S169" i="1"/>
  <c r="M421" i="1"/>
  <c r="O421" i="1"/>
  <c r="M232" i="1"/>
  <c r="R169" i="1"/>
  <c r="N421" i="1"/>
  <c r="L232" i="1"/>
  <c r="Q169" i="1"/>
  <c r="O169" i="1"/>
  <c r="N169" i="1"/>
  <c r="U358" i="1"/>
  <c r="T358" i="1"/>
  <c r="M169" i="1"/>
  <c r="R106" i="1"/>
  <c r="K232" i="1"/>
  <c r="K106" i="1"/>
  <c r="P169" i="1"/>
  <c r="K169" i="1"/>
  <c r="T106" i="1"/>
  <c r="L169" i="1"/>
  <c r="S106" i="1"/>
  <c r="Q106" i="1"/>
  <c r="K421" i="1"/>
  <c r="P106" i="1"/>
  <c r="I295" i="1"/>
  <c r="H421" i="1"/>
  <c r="H232" i="1"/>
  <c r="J358" i="1"/>
  <c r="F358" i="1"/>
  <c r="J169" i="1"/>
  <c r="I106" i="1"/>
  <c r="F169" i="1"/>
  <c r="H169" i="1"/>
  <c r="G169" i="1"/>
  <c r="J106" i="1"/>
  <c r="H106" i="1"/>
  <c r="D295" i="1"/>
  <c r="J421" i="1"/>
  <c r="G295" i="1"/>
  <c r="F106" i="1"/>
  <c r="I358" i="1"/>
  <c r="H358" i="1"/>
  <c r="E358" i="1"/>
  <c r="J232" i="1"/>
  <c r="I232" i="1"/>
  <c r="F421" i="1"/>
  <c r="E232" i="1"/>
  <c r="G358" i="1"/>
  <c r="E295" i="1"/>
  <c r="J295" i="1"/>
  <c r="I169" i="1"/>
  <c r="F232" i="1"/>
  <c r="E169" i="1"/>
  <c r="D106" i="1"/>
  <c r="E106" i="1"/>
  <c r="D169" i="1"/>
  <c r="D421" i="1"/>
  <c r="I421" i="1"/>
  <c r="G421" i="1"/>
  <c r="G106" i="1"/>
  <c r="E421" i="1"/>
  <c r="C421" i="1"/>
  <c r="D232" i="1"/>
  <c r="F295" i="1"/>
  <c r="C358" i="1"/>
  <c r="G232" i="1"/>
  <c r="D358" i="1"/>
  <c r="H295" i="1"/>
  <c r="A423" i="1"/>
  <c r="B422" i="1"/>
  <c r="A360" i="1"/>
  <c r="B359" i="1"/>
  <c r="A296" i="1"/>
  <c r="B295" i="1"/>
  <c r="A233" i="1"/>
  <c r="B232" i="1"/>
  <c r="A170" i="1"/>
  <c r="B169" i="1"/>
  <c r="A107" i="1"/>
  <c r="C232" i="1"/>
  <c r="C106" i="1"/>
  <c r="C169" i="1"/>
  <c r="C295" i="1"/>
  <c r="B106" i="1"/>
  <c r="R422" i="1" l="1"/>
  <c r="L296" i="1"/>
  <c r="P422" i="1"/>
  <c r="Q233" i="1"/>
  <c r="U170" i="1"/>
  <c r="O422" i="1"/>
  <c r="P233" i="1"/>
  <c r="N422" i="1"/>
  <c r="O233" i="1"/>
  <c r="M422" i="1"/>
  <c r="T359" i="1"/>
  <c r="N233" i="1"/>
  <c r="L422" i="1"/>
  <c r="S359" i="1"/>
  <c r="M233" i="1"/>
  <c r="U422" i="1"/>
  <c r="U107" i="1"/>
  <c r="R359" i="1"/>
  <c r="L233" i="1"/>
  <c r="U233" i="1"/>
  <c r="Q296" i="1"/>
  <c r="S170" i="1"/>
  <c r="P296" i="1"/>
  <c r="R170" i="1"/>
  <c r="O296" i="1"/>
  <c r="Q170" i="1"/>
  <c r="N296" i="1"/>
  <c r="P170" i="1"/>
  <c r="U296" i="1"/>
  <c r="M296" i="1"/>
  <c r="O170" i="1"/>
  <c r="N170" i="1"/>
  <c r="M170" i="1"/>
  <c r="T107" i="1"/>
  <c r="T233" i="1"/>
  <c r="L170" i="1"/>
  <c r="S107" i="1"/>
  <c r="U359" i="1"/>
  <c r="S233" i="1"/>
  <c r="T422" i="1"/>
  <c r="K359" i="1"/>
  <c r="S422" i="1"/>
  <c r="Q422" i="1"/>
  <c r="K296" i="1"/>
  <c r="T170" i="1"/>
  <c r="Q359" i="1"/>
  <c r="P359" i="1"/>
  <c r="O359" i="1"/>
  <c r="R107" i="1"/>
  <c r="K233" i="1"/>
  <c r="N359" i="1"/>
  <c r="M359" i="1"/>
  <c r="P107" i="1"/>
  <c r="L359" i="1"/>
  <c r="O107" i="1"/>
  <c r="N107" i="1"/>
  <c r="K170" i="1"/>
  <c r="R233" i="1"/>
  <c r="Q107" i="1"/>
  <c r="K107" i="1"/>
  <c r="M107" i="1"/>
  <c r="L107" i="1"/>
  <c r="R296" i="1"/>
  <c r="T296" i="1"/>
  <c r="S296" i="1"/>
  <c r="K422" i="1"/>
  <c r="J359" i="1"/>
  <c r="J170" i="1"/>
  <c r="I107" i="1"/>
  <c r="G233" i="1"/>
  <c r="J107" i="1"/>
  <c r="J422" i="1"/>
  <c r="I296" i="1"/>
  <c r="G296" i="1"/>
  <c r="F107" i="1"/>
  <c r="I359" i="1"/>
  <c r="H359" i="1"/>
  <c r="E359" i="1"/>
  <c r="J233" i="1"/>
  <c r="G359" i="1"/>
  <c r="G422" i="1"/>
  <c r="E233" i="1"/>
  <c r="D296" i="1"/>
  <c r="E296" i="1"/>
  <c r="G170" i="1"/>
  <c r="I170" i="1"/>
  <c r="H170" i="1"/>
  <c r="F233" i="1"/>
  <c r="E170" i="1"/>
  <c r="J296" i="1"/>
  <c r="E107" i="1"/>
  <c r="I422" i="1"/>
  <c r="G107" i="1"/>
  <c r="H422" i="1"/>
  <c r="D233" i="1"/>
  <c r="F296" i="1"/>
  <c r="F170" i="1"/>
  <c r="C422" i="1"/>
  <c r="F359" i="1"/>
  <c r="D422" i="1"/>
  <c r="F422" i="1"/>
  <c r="D359" i="1"/>
  <c r="H107" i="1"/>
  <c r="D170" i="1"/>
  <c r="C359" i="1"/>
  <c r="D107" i="1"/>
  <c r="I233" i="1"/>
  <c r="H296" i="1"/>
  <c r="E422" i="1"/>
  <c r="H233" i="1"/>
  <c r="B423" i="1"/>
  <c r="A424" i="1"/>
  <c r="A361" i="1"/>
  <c r="B360" i="1"/>
  <c r="A297" i="1"/>
  <c r="B296" i="1"/>
  <c r="A234" i="1"/>
  <c r="B233" i="1"/>
  <c r="A171" i="1"/>
  <c r="B170" i="1"/>
  <c r="A108" i="1"/>
  <c r="C233" i="1"/>
  <c r="C107" i="1"/>
  <c r="C170" i="1"/>
  <c r="C296" i="1"/>
  <c r="B107" i="1"/>
  <c r="P360" i="1" l="1"/>
  <c r="U171" i="1"/>
  <c r="N360" i="1"/>
  <c r="M360" i="1"/>
  <c r="T297" i="1"/>
  <c r="L360" i="1"/>
  <c r="S297" i="1"/>
  <c r="R297" i="1"/>
  <c r="U423" i="1"/>
  <c r="U108" i="1"/>
  <c r="Q297" i="1"/>
  <c r="P297" i="1"/>
  <c r="R234" i="1"/>
  <c r="Q108" i="1"/>
  <c r="T423" i="1"/>
  <c r="Q234" i="1"/>
  <c r="P108" i="1"/>
  <c r="S423" i="1"/>
  <c r="P234" i="1"/>
  <c r="O108" i="1"/>
  <c r="U297" i="1"/>
  <c r="R423" i="1"/>
  <c r="O234" i="1"/>
  <c r="N108" i="1"/>
  <c r="Q423" i="1"/>
  <c r="N234" i="1"/>
  <c r="M108" i="1"/>
  <c r="P423" i="1"/>
  <c r="M234" i="1"/>
  <c r="L108" i="1"/>
  <c r="O423" i="1"/>
  <c r="L234" i="1"/>
  <c r="U360" i="1"/>
  <c r="N423" i="1"/>
  <c r="M423" i="1"/>
  <c r="T360" i="1"/>
  <c r="P171" i="1"/>
  <c r="O171" i="1"/>
  <c r="S360" i="1"/>
  <c r="N171" i="1"/>
  <c r="R360" i="1"/>
  <c r="M171" i="1"/>
  <c r="K297" i="1"/>
  <c r="Q360" i="1"/>
  <c r="L171" i="1"/>
  <c r="O360" i="1"/>
  <c r="T108" i="1"/>
  <c r="S108" i="1"/>
  <c r="O297" i="1"/>
  <c r="R108" i="1"/>
  <c r="K234" i="1"/>
  <c r="N297" i="1"/>
  <c r="M297" i="1"/>
  <c r="K171" i="1"/>
  <c r="L297" i="1"/>
  <c r="T234" i="1"/>
  <c r="S171" i="1"/>
  <c r="K108" i="1"/>
  <c r="T171" i="1"/>
  <c r="L423" i="1"/>
  <c r="R171" i="1"/>
  <c r="K423" i="1"/>
  <c r="Q171" i="1"/>
  <c r="K360" i="1"/>
  <c r="S234" i="1"/>
  <c r="U234" i="1"/>
  <c r="J171" i="1"/>
  <c r="I108" i="1"/>
  <c r="F171" i="1"/>
  <c r="G234" i="1"/>
  <c r="G423" i="1"/>
  <c r="H108" i="1"/>
  <c r="E360" i="1"/>
  <c r="J423" i="1"/>
  <c r="I360" i="1"/>
  <c r="H360" i="1"/>
  <c r="J234" i="1"/>
  <c r="G360" i="1"/>
  <c r="H423" i="1"/>
  <c r="E297" i="1"/>
  <c r="J360" i="1"/>
  <c r="G171" i="1"/>
  <c r="I171" i="1"/>
  <c r="H171" i="1"/>
  <c r="F234" i="1"/>
  <c r="F108" i="1"/>
  <c r="E171" i="1"/>
  <c r="J297" i="1"/>
  <c r="E108" i="1"/>
  <c r="I423" i="1"/>
  <c r="D234" i="1"/>
  <c r="F360" i="1"/>
  <c r="F297" i="1"/>
  <c r="E234" i="1"/>
  <c r="G108" i="1"/>
  <c r="D423" i="1"/>
  <c r="D360" i="1"/>
  <c r="D171" i="1"/>
  <c r="H297" i="1"/>
  <c r="J108" i="1"/>
  <c r="E423" i="1"/>
  <c r="D108" i="1"/>
  <c r="H234" i="1"/>
  <c r="D297" i="1"/>
  <c r="F423" i="1"/>
  <c r="C423" i="1"/>
  <c r="I297" i="1"/>
  <c r="C360" i="1"/>
  <c r="I234" i="1"/>
  <c r="G297" i="1"/>
  <c r="A425" i="1"/>
  <c r="B424" i="1"/>
  <c r="A362" i="1"/>
  <c r="B361" i="1"/>
  <c r="A298" i="1"/>
  <c r="B297" i="1"/>
  <c r="A235" i="1"/>
  <c r="B234" i="1"/>
  <c r="B171" i="1"/>
  <c r="A172" i="1"/>
  <c r="A109" i="1"/>
  <c r="C234" i="1"/>
  <c r="C297" i="1"/>
  <c r="C171" i="1"/>
  <c r="C108" i="1"/>
  <c r="B108" i="1"/>
  <c r="T424" i="1" l="1"/>
  <c r="N298" i="1"/>
  <c r="U172" i="1"/>
  <c r="R424" i="1"/>
  <c r="L298" i="1"/>
  <c r="S235" i="1"/>
  <c r="Q424" i="1"/>
  <c r="R235" i="1"/>
  <c r="P424" i="1"/>
  <c r="Q235" i="1"/>
  <c r="U424" i="1"/>
  <c r="U109" i="1"/>
  <c r="O424" i="1"/>
  <c r="P235" i="1"/>
  <c r="N424" i="1"/>
  <c r="O235" i="1"/>
  <c r="M424" i="1"/>
  <c r="T361" i="1"/>
  <c r="N235" i="1"/>
  <c r="L424" i="1"/>
  <c r="S361" i="1"/>
  <c r="R361" i="1"/>
  <c r="T172" i="1"/>
  <c r="U298" i="1"/>
  <c r="Q361" i="1"/>
  <c r="S172" i="1"/>
  <c r="P361" i="1"/>
  <c r="R172" i="1"/>
  <c r="O361" i="1"/>
  <c r="Q172" i="1"/>
  <c r="N361" i="1"/>
  <c r="P172" i="1"/>
  <c r="U361" i="1"/>
  <c r="M361" i="1"/>
  <c r="T298" i="1"/>
  <c r="O172" i="1"/>
  <c r="L361" i="1"/>
  <c r="S298" i="1"/>
  <c r="N172" i="1"/>
  <c r="R298" i="1"/>
  <c r="M172" i="1"/>
  <c r="P109" i="1"/>
  <c r="O109" i="1"/>
  <c r="N109" i="1"/>
  <c r="K298" i="1"/>
  <c r="K235" i="1"/>
  <c r="M109" i="1"/>
  <c r="L109" i="1"/>
  <c r="Q298" i="1"/>
  <c r="P298" i="1"/>
  <c r="O298" i="1"/>
  <c r="M298" i="1"/>
  <c r="K172" i="1"/>
  <c r="U235" i="1"/>
  <c r="S109" i="1"/>
  <c r="L172" i="1"/>
  <c r="Q109" i="1"/>
  <c r="K361" i="1"/>
  <c r="S424" i="1"/>
  <c r="T235" i="1"/>
  <c r="L235" i="1"/>
  <c r="M235" i="1"/>
  <c r="T109" i="1"/>
  <c r="R109" i="1"/>
  <c r="K109" i="1"/>
  <c r="K424" i="1"/>
  <c r="J172" i="1"/>
  <c r="I109" i="1"/>
  <c r="G235" i="1"/>
  <c r="G424" i="1"/>
  <c r="I361" i="1"/>
  <c r="H298" i="1"/>
  <c r="J424" i="1"/>
  <c r="G109" i="1"/>
  <c r="F172" i="1"/>
  <c r="H361" i="1"/>
  <c r="D109" i="1"/>
  <c r="J235" i="1"/>
  <c r="E361" i="1"/>
  <c r="G361" i="1"/>
  <c r="E235" i="1"/>
  <c r="D361" i="1"/>
  <c r="J298" i="1"/>
  <c r="J361" i="1"/>
  <c r="G172" i="1"/>
  <c r="E424" i="1"/>
  <c r="I172" i="1"/>
  <c r="H172" i="1"/>
  <c r="F235" i="1"/>
  <c r="F109" i="1"/>
  <c r="E172" i="1"/>
  <c r="E109" i="1"/>
  <c r="I424" i="1"/>
  <c r="H109" i="1"/>
  <c r="F361" i="1"/>
  <c r="H424" i="1"/>
  <c r="D235" i="1"/>
  <c r="F424" i="1"/>
  <c r="F298" i="1"/>
  <c r="I298" i="1"/>
  <c r="D298" i="1"/>
  <c r="I235" i="1"/>
  <c r="C424" i="1"/>
  <c r="G298" i="1"/>
  <c r="D424" i="1"/>
  <c r="D172" i="1"/>
  <c r="H235" i="1"/>
  <c r="E298" i="1"/>
  <c r="J109" i="1"/>
  <c r="C361" i="1"/>
  <c r="A426" i="1"/>
  <c r="B425" i="1"/>
  <c r="A363" i="1"/>
  <c r="B362" i="1"/>
  <c r="B298" i="1"/>
  <c r="A299" i="1"/>
  <c r="A236" i="1"/>
  <c r="B235" i="1"/>
  <c r="A173" i="1"/>
  <c r="B172" i="1"/>
  <c r="A110" i="1"/>
  <c r="C172" i="1"/>
  <c r="C109" i="1"/>
  <c r="C235" i="1"/>
  <c r="C298" i="1"/>
  <c r="B109" i="1"/>
  <c r="U173" i="1" l="1"/>
  <c r="R362" i="1"/>
  <c r="P362" i="1"/>
  <c r="O362" i="1"/>
  <c r="U425" i="1"/>
  <c r="U110" i="1"/>
  <c r="N362" i="1"/>
  <c r="M362" i="1"/>
  <c r="T299" i="1"/>
  <c r="L362" i="1"/>
  <c r="S299" i="1"/>
  <c r="R299" i="1"/>
  <c r="Q299" i="1"/>
  <c r="L173" i="1"/>
  <c r="S110" i="1"/>
  <c r="U299" i="1"/>
  <c r="P299" i="1"/>
  <c r="R110" i="1"/>
  <c r="O299" i="1"/>
  <c r="Q110" i="1"/>
  <c r="N299" i="1"/>
  <c r="P110" i="1"/>
  <c r="M299" i="1"/>
  <c r="O110" i="1"/>
  <c r="U362" i="1"/>
  <c r="L299" i="1"/>
  <c r="N110" i="1"/>
  <c r="T236" i="1"/>
  <c r="M110" i="1"/>
  <c r="S236" i="1"/>
  <c r="L110" i="1"/>
  <c r="R236" i="1"/>
  <c r="S362" i="1"/>
  <c r="Q362" i="1"/>
  <c r="K299" i="1"/>
  <c r="K236" i="1"/>
  <c r="T173" i="1"/>
  <c r="Q236" i="1"/>
  <c r="S173" i="1"/>
  <c r="T425" i="1"/>
  <c r="S425" i="1"/>
  <c r="O236" i="1"/>
  <c r="Q173" i="1"/>
  <c r="U236" i="1"/>
  <c r="R425" i="1"/>
  <c r="N236" i="1"/>
  <c r="P173" i="1"/>
  <c r="Q425" i="1"/>
  <c r="M236" i="1"/>
  <c r="O173" i="1"/>
  <c r="L425" i="1"/>
  <c r="O425" i="1"/>
  <c r="N425" i="1"/>
  <c r="K362" i="1"/>
  <c r="M425" i="1"/>
  <c r="K425" i="1"/>
  <c r="L236" i="1"/>
  <c r="T362" i="1"/>
  <c r="N173" i="1"/>
  <c r="P236" i="1"/>
  <c r="R173" i="1"/>
  <c r="T110" i="1"/>
  <c r="K110" i="1"/>
  <c r="P425" i="1"/>
  <c r="M173" i="1"/>
  <c r="K173" i="1"/>
  <c r="G236" i="1"/>
  <c r="G425" i="1"/>
  <c r="I362" i="1"/>
  <c r="H299" i="1"/>
  <c r="E173" i="1"/>
  <c r="J425" i="1"/>
  <c r="G110" i="1"/>
  <c r="F173" i="1"/>
  <c r="J236" i="1"/>
  <c r="E425" i="1"/>
  <c r="E362" i="1"/>
  <c r="G362" i="1"/>
  <c r="E236" i="1"/>
  <c r="I425" i="1"/>
  <c r="I173" i="1"/>
  <c r="I110" i="1"/>
  <c r="H110" i="1"/>
  <c r="H173" i="1"/>
  <c r="F236" i="1"/>
  <c r="F110" i="1"/>
  <c r="C425" i="1"/>
  <c r="E110" i="1"/>
  <c r="J299" i="1"/>
  <c r="D425" i="1"/>
  <c r="F362" i="1"/>
  <c r="H362" i="1"/>
  <c r="D110" i="1"/>
  <c r="G299" i="1"/>
  <c r="C362" i="1"/>
  <c r="D236" i="1"/>
  <c r="F299" i="1"/>
  <c r="F425" i="1"/>
  <c r="D299" i="1"/>
  <c r="I236" i="1"/>
  <c r="H425" i="1"/>
  <c r="H236" i="1"/>
  <c r="J110" i="1"/>
  <c r="J362" i="1"/>
  <c r="D173" i="1"/>
  <c r="I299" i="1"/>
  <c r="G173" i="1"/>
  <c r="D362" i="1"/>
  <c r="J173" i="1"/>
  <c r="E299" i="1"/>
  <c r="A427" i="1"/>
  <c r="B426" i="1"/>
  <c r="B363" i="1"/>
  <c r="A364" i="1"/>
  <c r="B299" i="1"/>
  <c r="A300" i="1"/>
  <c r="A237" i="1"/>
  <c r="B236" i="1"/>
  <c r="A174" i="1"/>
  <c r="B173" i="1"/>
  <c r="A111" i="1"/>
  <c r="C299" i="1"/>
  <c r="C236" i="1"/>
  <c r="C110" i="1"/>
  <c r="C173" i="1"/>
  <c r="B110" i="1"/>
  <c r="P300" i="1" l="1"/>
  <c r="T426" i="1"/>
  <c r="N300" i="1"/>
  <c r="U426" i="1"/>
  <c r="U111" i="1"/>
  <c r="S426" i="1"/>
  <c r="M300" i="1"/>
  <c r="T237" i="1"/>
  <c r="R426" i="1"/>
  <c r="L300" i="1"/>
  <c r="S237" i="1"/>
  <c r="Q426" i="1"/>
  <c r="R237" i="1"/>
  <c r="P426" i="1"/>
  <c r="Q237" i="1"/>
  <c r="U363" i="1"/>
  <c r="O426" i="1"/>
  <c r="P237" i="1"/>
  <c r="U300" i="1"/>
  <c r="O237" i="1"/>
  <c r="N237" i="1"/>
  <c r="T174" i="1"/>
  <c r="M237" i="1"/>
  <c r="S174" i="1"/>
  <c r="L237" i="1"/>
  <c r="R174" i="1"/>
  <c r="Q174" i="1"/>
  <c r="N426" i="1"/>
  <c r="P174" i="1"/>
  <c r="M426" i="1"/>
  <c r="T363" i="1"/>
  <c r="O174" i="1"/>
  <c r="T300" i="1"/>
  <c r="K300" i="1"/>
  <c r="S300" i="1"/>
  <c r="R300" i="1"/>
  <c r="T111" i="1"/>
  <c r="Q300" i="1"/>
  <c r="O300" i="1"/>
  <c r="N174" i="1"/>
  <c r="K237" i="1"/>
  <c r="M174" i="1"/>
  <c r="L174" i="1"/>
  <c r="S111" i="1"/>
  <c r="L426" i="1"/>
  <c r="R111" i="1"/>
  <c r="K174" i="1"/>
  <c r="U237" i="1"/>
  <c r="P111" i="1"/>
  <c r="S363" i="1"/>
  <c r="O111" i="1"/>
  <c r="R363" i="1"/>
  <c r="N111" i="1"/>
  <c r="K426" i="1"/>
  <c r="K111" i="1"/>
  <c r="U174" i="1"/>
  <c r="M363" i="1"/>
  <c r="Q111" i="1"/>
  <c r="Q363" i="1"/>
  <c r="K363" i="1"/>
  <c r="P363" i="1"/>
  <c r="N363" i="1"/>
  <c r="M111" i="1"/>
  <c r="L111" i="1"/>
  <c r="O363" i="1"/>
  <c r="L363" i="1"/>
  <c r="G426" i="1"/>
  <c r="I363" i="1"/>
  <c r="H300" i="1"/>
  <c r="I174" i="1"/>
  <c r="H111" i="1"/>
  <c r="J426" i="1"/>
  <c r="I111" i="1"/>
  <c r="E426" i="1"/>
  <c r="I426" i="1"/>
  <c r="F300" i="1"/>
  <c r="G363" i="1"/>
  <c r="C363" i="1"/>
  <c r="C426" i="1"/>
  <c r="E237" i="1"/>
  <c r="D426" i="1"/>
  <c r="D174" i="1"/>
  <c r="H426" i="1"/>
  <c r="E174" i="1"/>
  <c r="E111" i="1"/>
  <c r="D111" i="1"/>
  <c r="J300" i="1"/>
  <c r="F363" i="1"/>
  <c r="G111" i="1"/>
  <c r="H363" i="1"/>
  <c r="D237" i="1"/>
  <c r="D363" i="1"/>
  <c r="J237" i="1"/>
  <c r="F426" i="1"/>
  <c r="F237" i="1"/>
  <c r="E363" i="1"/>
  <c r="F111" i="1"/>
  <c r="G174" i="1"/>
  <c r="F174" i="1"/>
  <c r="H174" i="1"/>
  <c r="J111" i="1"/>
  <c r="H237" i="1"/>
  <c r="J363" i="1"/>
  <c r="G237" i="1"/>
  <c r="I300" i="1"/>
  <c r="J174" i="1"/>
  <c r="E300" i="1"/>
  <c r="I237" i="1"/>
  <c r="G300" i="1"/>
  <c r="D300" i="1"/>
  <c r="A428" i="1"/>
  <c r="B427" i="1"/>
  <c r="B364" i="1"/>
  <c r="A365" i="1"/>
  <c r="B300" i="1"/>
  <c r="A301" i="1"/>
  <c r="B237" i="1"/>
  <c r="A238" i="1"/>
  <c r="B174" i="1"/>
  <c r="A175" i="1"/>
  <c r="A112" i="1"/>
  <c r="C174" i="1"/>
  <c r="C237" i="1"/>
  <c r="C300" i="1"/>
  <c r="C111" i="1"/>
  <c r="B111" i="1"/>
  <c r="M427" i="1" l="1"/>
  <c r="T364" i="1"/>
  <c r="U427" i="1"/>
  <c r="U112" i="1"/>
  <c r="R364" i="1"/>
  <c r="L238" i="1"/>
  <c r="Q364" i="1"/>
  <c r="P364" i="1"/>
  <c r="O364" i="1"/>
  <c r="U364" i="1"/>
  <c r="N364" i="1"/>
  <c r="M364" i="1"/>
  <c r="T301" i="1"/>
  <c r="S427" i="1"/>
  <c r="N238" i="1"/>
  <c r="N175" i="1"/>
  <c r="R427" i="1"/>
  <c r="M238" i="1"/>
  <c r="M175" i="1"/>
  <c r="T112" i="1"/>
  <c r="Q427" i="1"/>
  <c r="L175" i="1"/>
  <c r="S112" i="1"/>
  <c r="P427" i="1"/>
  <c r="R112" i="1"/>
  <c r="O427" i="1"/>
  <c r="Q112" i="1"/>
  <c r="N427" i="1"/>
  <c r="P112" i="1"/>
  <c r="L427" i="1"/>
  <c r="S364" i="1"/>
  <c r="O112" i="1"/>
  <c r="L364" i="1"/>
  <c r="S301" i="1"/>
  <c r="N112" i="1"/>
  <c r="R301" i="1"/>
  <c r="R175" i="1"/>
  <c r="Q175" i="1"/>
  <c r="U301" i="1"/>
  <c r="T238" i="1"/>
  <c r="P175" i="1"/>
  <c r="O175" i="1"/>
  <c r="K238" i="1"/>
  <c r="S238" i="1"/>
  <c r="R238" i="1"/>
  <c r="M112" i="1"/>
  <c r="Q238" i="1"/>
  <c r="L112" i="1"/>
  <c r="P238" i="1"/>
  <c r="T427" i="1"/>
  <c r="O238" i="1"/>
  <c r="K175" i="1"/>
  <c r="U238" i="1"/>
  <c r="K427" i="1"/>
  <c r="K112" i="1"/>
  <c r="N301" i="1"/>
  <c r="K364" i="1"/>
  <c r="Q301" i="1"/>
  <c r="T175" i="1"/>
  <c r="P301" i="1"/>
  <c r="O301" i="1"/>
  <c r="M301" i="1"/>
  <c r="U175" i="1"/>
  <c r="S175" i="1"/>
  <c r="L301" i="1"/>
  <c r="K301" i="1"/>
  <c r="I364" i="1"/>
  <c r="H301" i="1"/>
  <c r="I175" i="1"/>
  <c r="H112" i="1"/>
  <c r="J427" i="1"/>
  <c r="J238" i="1"/>
  <c r="F238" i="1"/>
  <c r="G112" i="1"/>
  <c r="F175" i="1"/>
  <c r="I427" i="1"/>
  <c r="F301" i="1"/>
  <c r="J364" i="1"/>
  <c r="E238" i="1"/>
  <c r="D364" i="1"/>
  <c r="H427" i="1"/>
  <c r="C427" i="1"/>
  <c r="J301" i="1"/>
  <c r="C364" i="1"/>
  <c r="D112" i="1"/>
  <c r="G364" i="1"/>
  <c r="F364" i="1"/>
  <c r="H364" i="1"/>
  <c r="D427" i="1"/>
  <c r="D238" i="1"/>
  <c r="G301" i="1"/>
  <c r="E427" i="1"/>
  <c r="I112" i="1"/>
  <c r="G427" i="1"/>
  <c r="E364" i="1"/>
  <c r="I238" i="1"/>
  <c r="H175" i="1"/>
  <c r="F427" i="1"/>
  <c r="J112" i="1"/>
  <c r="H238" i="1"/>
  <c r="G175" i="1"/>
  <c r="F112" i="1"/>
  <c r="G238" i="1"/>
  <c r="E175" i="1"/>
  <c r="E112" i="1"/>
  <c r="D175" i="1"/>
  <c r="J175" i="1"/>
  <c r="I301" i="1"/>
  <c r="E301" i="1"/>
  <c r="D301" i="1"/>
  <c r="A429" i="1"/>
  <c r="B428" i="1"/>
  <c r="B365" i="1"/>
  <c r="A366" i="1"/>
  <c r="A302" i="1"/>
  <c r="B301" i="1"/>
  <c r="B238" i="1"/>
  <c r="A239" i="1"/>
  <c r="A176" i="1"/>
  <c r="B175" i="1"/>
  <c r="A113" i="1"/>
  <c r="C112" i="1"/>
  <c r="C175" i="1"/>
  <c r="C238" i="1"/>
  <c r="C301" i="1"/>
  <c r="B112" i="1"/>
  <c r="R302" i="1" l="1"/>
  <c r="U428" i="1"/>
  <c r="U113" i="1"/>
  <c r="P302" i="1"/>
  <c r="O302" i="1"/>
  <c r="T428" i="1"/>
  <c r="N302" i="1"/>
  <c r="U365" i="1"/>
  <c r="S428" i="1"/>
  <c r="M302" i="1"/>
  <c r="T239" i="1"/>
  <c r="R428" i="1"/>
  <c r="L302" i="1"/>
  <c r="S239" i="1"/>
  <c r="Q428" i="1"/>
  <c r="R239" i="1"/>
  <c r="Q365" i="1"/>
  <c r="L113" i="1"/>
  <c r="P365" i="1"/>
  <c r="O365" i="1"/>
  <c r="N365" i="1"/>
  <c r="M365" i="1"/>
  <c r="T302" i="1"/>
  <c r="L365" i="1"/>
  <c r="S302" i="1"/>
  <c r="T176" i="1"/>
  <c r="Q302" i="1"/>
  <c r="S176" i="1"/>
  <c r="R176" i="1"/>
  <c r="Q239" i="1"/>
  <c r="Q176" i="1"/>
  <c r="M239" i="1"/>
  <c r="P113" i="1"/>
  <c r="U302" i="1"/>
  <c r="L239" i="1"/>
  <c r="O113" i="1"/>
  <c r="P428" i="1"/>
  <c r="N113" i="1"/>
  <c r="K239" i="1"/>
  <c r="O428" i="1"/>
  <c r="M113" i="1"/>
  <c r="N428" i="1"/>
  <c r="M428" i="1"/>
  <c r="L428" i="1"/>
  <c r="K176" i="1"/>
  <c r="S365" i="1"/>
  <c r="U239" i="1"/>
  <c r="T365" i="1"/>
  <c r="R365" i="1"/>
  <c r="K428" i="1"/>
  <c r="K113" i="1"/>
  <c r="P239" i="1"/>
  <c r="L176" i="1"/>
  <c r="S113" i="1"/>
  <c r="M176" i="1"/>
  <c r="K365" i="1"/>
  <c r="K302" i="1"/>
  <c r="U176" i="1"/>
  <c r="P176" i="1"/>
  <c r="R113" i="1"/>
  <c r="N239" i="1"/>
  <c r="N176" i="1"/>
  <c r="Q113" i="1"/>
  <c r="T113" i="1"/>
  <c r="O239" i="1"/>
  <c r="O176" i="1"/>
  <c r="I176" i="1"/>
  <c r="H113" i="1"/>
  <c r="J428" i="1"/>
  <c r="J239" i="1"/>
  <c r="G302" i="1"/>
  <c r="F428" i="1"/>
  <c r="I428" i="1"/>
  <c r="J365" i="1"/>
  <c r="H428" i="1"/>
  <c r="H365" i="1"/>
  <c r="G365" i="1"/>
  <c r="I365" i="1"/>
  <c r="J302" i="1"/>
  <c r="E113" i="1"/>
  <c r="F365" i="1"/>
  <c r="D113" i="1"/>
  <c r="C365" i="1"/>
  <c r="D239" i="1"/>
  <c r="G113" i="1"/>
  <c r="I113" i="1"/>
  <c r="E428" i="1"/>
  <c r="H239" i="1"/>
  <c r="F239" i="1"/>
  <c r="J113" i="1"/>
  <c r="G176" i="1"/>
  <c r="F113" i="1"/>
  <c r="F302" i="1"/>
  <c r="E239" i="1"/>
  <c r="H176" i="1"/>
  <c r="F176" i="1"/>
  <c r="E365" i="1"/>
  <c r="I239" i="1"/>
  <c r="D302" i="1"/>
  <c r="E176" i="1"/>
  <c r="D176" i="1"/>
  <c r="C428" i="1"/>
  <c r="J176" i="1"/>
  <c r="D428" i="1"/>
  <c r="G428" i="1"/>
  <c r="D365" i="1"/>
  <c r="I302" i="1"/>
  <c r="G239" i="1"/>
  <c r="E302" i="1"/>
  <c r="H302" i="1"/>
  <c r="A430" i="1"/>
  <c r="B430" i="1" s="1"/>
  <c r="B429" i="1"/>
  <c r="A367" i="1"/>
  <c r="B366" i="1"/>
  <c r="B302" i="1"/>
  <c r="A303" i="1"/>
  <c r="A240" i="1"/>
  <c r="B239" i="1"/>
  <c r="A177" i="1"/>
  <c r="B176" i="1"/>
  <c r="A114" i="1"/>
  <c r="C239" i="1"/>
  <c r="C176" i="1"/>
  <c r="C113" i="1"/>
  <c r="C302" i="1"/>
  <c r="B113" i="1"/>
  <c r="U429" i="1" l="1"/>
  <c r="U114" i="1"/>
  <c r="O429" i="1"/>
  <c r="M429" i="1"/>
  <c r="T366" i="1"/>
  <c r="N240" i="1"/>
  <c r="L429" i="1"/>
  <c r="S366" i="1"/>
  <c r="M240" i="1"/>
  <c r="U366" i="1"/>
  <c r="R366" i="1"/>
  <c r="L240" i="1"/>
  <c r="Q366" i="1"/>
  <c r="P366" i="1"/>
  <c r="O366" i="1"/>
  <c r="O303" i="1"/>
  <c r="P177" i="1"/>
  <c r="N303" i="1"/>
  <c r="O177" i="1"/>
  <c r="M303" i="1"/>
  <c r="T240" i="1"/>
  <c r="N177" i="1"/>
  <c r="L303" i="1"/>
  <c r="S240" i="1"/>
  <c r="M177" i="1"/>
  <c r="T114" i="1"/>
  <c r="R240" i="1"/>
  <c r="L177" i="1"/>
  <c r="S114" i="1"/>
  <c r="Q240" i="1"/>
  <c r="R114" i="1"/>
  <c r="P240" i="1"/>
  <c r="Q114" i="1"/>
  <c r="O240" i="1"/>
  <c r="P114" i="1"/>
  <c r="T429" i="1"/>
  <c r="O114" i="1"/>
  <c r="U303" i="1"/>
  <c r="P429" i="1"/>
  <c r="N429" i="1"/>
  <c r="K240" i="1"/>
  <c r="M366" i="1"/>
  <c r="N366" i="1"/>
  <c r="K177" i="1"/>
  <c r="U240" i="1"/>
  <c r="L366" i="1"/>
  <c r="T303" i="1"/>
  <c r="S303" i="1"/>
  <c r="S177" i="1"/>
  <c r="R303" i="1"/>
  <c r="R177" i="1"/>
  <c r="Q303" i="1"/>
  <c r="Q177" i="1"/>
  <c r="S429" i="1"/>
  <c r="P303" i="1"/>
  <c r="K114" i="1"/>
  <c r="Q429" i="1"/>
  <c r="K429" i="1"/>
  <c r="L114" i="1"/>
  <c r="R429" i="1"/>
  <c r="K366" i="1"/>
  <c r="U177" i="1"/>
  <c r="N114" i="1"/>
  <c r="M114" i="1"/>
  <c r="T177" i="1"/>
  <c r="K303" i="1"/>
  <c r="I177" i="1"/>
  <c r="H114" i="1"/>
  <c r="J429" i="1"/>
  <c r="J240" i="1"/>
  <c r="F240" i="1"/>
  <c r="G303" i="1"/>
  <c r="I429" i="1"/>
  <c r="F303" i="1"/>
  <c r="J366" i="1"/>
  <c r="H429" i="1"/>
  <c r="H366" i="1"/>
  <c r="G366" i="1"/>
  <c r="J303" i="1"/>
  <c r="G429" i="1"/>
  <c r="D177" i="1"/>
  <c r="E114" i="1"/>
  <c r="I114" i="1"/>
  <c r="I240" i="1"/>
  <c r="H177" i="1"/>
  <c r="D114" i="1"/>
  <c r="D240" i="1"/>
  <c r="C366" i="1"/>
  <c r="G114" i="1"/>
  <c r="I366" i="1"/>
  <c r="E240" i="1"/>
  <c r="J114" i="1"/>
  <c r="H240" i="1"/>
  <c r="H303" i="1"/>
  <c r="F114" i="1"/>
  <c r="D303" i="1"/>
  <c r="F177" i="1"/>
  <c r="E366" i="1"/>
  <c r="G177" i="1"/>
  <c r="F429" i="1"/>
  <c r="F366" i="1"/>
  <c r="G240" i="1"/>
  <c r="J177" i="1"/>
  <c r="I303" i="1"/>
  <c r="E303" i="1"/>
  <c r="C429" i="1"/>
  <c r="D366" i="1"/>
  <c r="E177" i="1"/>
  <c r="D429" i="1"/>
  <c r="E429" i="1"/>
  <c r="B367" i="1"/>
  <c r="A304" i="1"/>
  <c r="B303" i="1"/>
  <c r="A241" i="1"/>
  <c r="B240" i="1"/>
  <c r="A178" i="1"/>
  <c r="B177" i="1"/>
  <c r="B114" i="1"/>
  <c r="C240" i="1"/>
  <c r="A115" i="1"/>
  <c r="C303" i="1"/>
  <c r="C177" i="1"/>
  <c r="C114" i="1"/>
  <c r="M367" i="1" l="1"/>
  <c r="T304" i="1"/>
  <c r="R304" i="1"/>
  <c r="U367" i="1"/>
  <c r="Q304" i="1"/>
  <c r="P304" i="1"/>
  <c r="O304" i="1"/>
  <c r="T430" i="1"/>
  <c r="N304" i="1"/>
  <c r="U304" i="1"/>
  <c r="S430" i="1"/>
  <c r="M304" i="1"/>
  <c r="T241" i="1"/>
  <c r="M241" i="1"/>
  <c r="N115" i="1"/>
  <c r="R430" i="1"/>
  <c r="L241" i="1"/>
  <c r="M115" i="1"/>
  <c r="Q430" i="1"/>
  <c r="L115" i="1"/>
  <c r="P430" i="1"/>
  <c r="U115" i="1"/>
  <c r="O430" i="1"/>
  <c r="N430" i="1"/>
  <c r="M430" i="1"/>
  <c r="T367" i="1"/>
  <c r="L430" i="1"/>
  <c r="S367" i="1"/>
  <c r="T178" i="1"/>
  <c r="U178" i="1"/>
  <c r="R367" i="1"/>
  <c r="S178" i="1"/>
  <c r="Q367" i="1"/>
  <c r="K241" i="1"/>
  <c r="P367" i="1"/>
  <c r="O367" i="1"/>
  <c r="R178" i="1"/>
  <c r="N367" i="1"/>
  <c r="Q178" i="1"/>
  <c r="U430" i="1"/>
  <c r="L367" i="1"/>
  <c r="P178" i="1"/>
  <c r="K178" i="1"/>
  <c r="O178" i="1"/>
  <c r="U241" i="1"/>
  <c r="N178" i="1"/>
  <c r="S304" i="1"/>
  <c r="M178" i="1"/>
  <c r="T115" i="1"/>
  <c r="L304" i="1"/>
  <c r="L178" i="1"/>
  <c r="S115" i="1"/>
  <c r="K430" i="1"/>
  <c r="K115" i="1"/>
  <c r="Q115" i="1"/>
  <c r="S241" i="1"/>
  <c r="P115" i="1"/>
  <c r="R241" i="1"/>
  <c r="O115" i="1"/>
  <c r="K367" i="1"/>
  <c r="K304" i="1"/>
  <c r="R115" i="1"/>
  <c r="P241" i="1"/>
  <c r="O241" i="1"/>
  <c r="Q241" i="1"/>
  <c r="N241" i="1"/>
  <c r="J430" i="1"/>
  <c r="J241" i="1"/>
  <c r="G304" i="1"/>
  <c r="F430" i="1"/>
  <c r="H367" i="1"/>
  <c r="J367" i="1"/>
  <c r="J304" i="1"/>
  <c r="G430" i="1"/>
  <c r="I367" i="1"/>
  <c r="E115" i="1"/>
  <c r="H430" i="1"/>
  <c r="I115" i="1"/>
  <c r="J115" i="1"/>
  <c r="F367" i="1"/>
  <c r="I178" i="1"/>
  <c r="G367" i="1"/>
  <c r="D241" i="1"/>
  <c r="C367" i="1"/>
  <c r="I430" i="1"/>
  <c r="G115" i="1"/>
  <c r="H115" i="1"/>
  <c r="D367" i="1"/>
  <c r="H304" i="1"/>
  <c r="F178" i="1"/>
  <c r="D430" i="1"/>
  <c r="E241" i="1"/>
  <c r="F304" i="1"/>
  <c r="E430" i="1"/>
  <c r="F115" i="1"/>
  <c r="H178" i="1"/>
  <c r="E367" i="1"/>
  <c r="D304" i="1"/>
  <c r="I241" i="1"/>
  <c r="H241" i="1"/>
  <c r="G178" i="1"/>
  <c r="F241" i="1"/>
  <c r="G241" i="1"/>
  <c r="I304" i="1"/>
  <c r="D115" i="1"/>
  <c r="D178" i="1"/>
  <c r="C430" i="1"/>
  <c r="E178" i="1"/>
  <c r="J178" i="1"/>
  <c r="E304" i="1"/>
  <c r="B304" i="1"/>
  <c r="B241" i="1"/>
  <c r="B178" i="1"/>
  <c r="C115" i="1"/>
  <c r="C241" i="1"/>
  <c r="C178" i="1"/>
  <c r="C304" i="1"/>
  <c r="B115" i="1"/>
  <c r="C122" i="1" l="1"/>
  <c r="C119" i="1"/>
  <c r="C245" i="1" s="1"/>
  <c r="L119" i="1"/>
  <c r="L245" i="1" s="1"/>
  <c r="M119" i="1"/>
  <c r="M182" i="1" s="1"/>
  <c r="N119" i="1"/>
  <c r="N245" i="1" s="1"/>
  <c r="O119" i="1"/>
  <c r="O245" i="1" s="1"/>
  <c r="P119" i="1"/>
  <c r="P245" i="1" s="1"/>
  <c r="Q119" i="1"/>
  <c r="Q245" i="1" s="1"/>
  <c r="R119" i="1"/>
  <c r="R182" i="1" s="1"/>
  <c r="D119" i="1"/>
  <c r="G119" i="1"/>
  <c r="G245" i="1" s="1"/>
  <c r="I119" i="1"/>
  <c r="I245" i="1" s="1"/>
  <c r="F119" i="1"/>
  <c r="F245" i="1" s="1"/>
  <c r="E119" i="1"/>
  <c r="E245" i="1" s="1"/>
  <c r="H119" i="1"/>
  <c r="H182" i="1" s="1"/>
  <c r="J119" i="1"/>
  <c r="J182" i="1" s="1"/>
  <c r="S119" i="1"/>
  <c r="S245" i="1" s="1"/>
  <c r="T119" i="1"/>
  <c r="T245" i="1" s="1"/>
  <c r="K119" i="1"/>
  <c r="K245" i="1" s="1"/>
  <c r="C15" i="1"/>
  <c r="U119" i="1"/>
  <c r="U245" i="1" s="1"/>
  <c r="N182" i="1" l="1"/>
  <c r="N308" i="1" s="1"/>
  <c r="N56" i="1" s="1"/>
  <c r="N120" i="1" s="1"/>
  <c r="I182" i="1"/>
  <c r="L182" i="1"/>
  <c r="L308" i="1" s="1"/>
  <c r="L56" i="1" s="1"/>
  <c r="L120" i="1" s="1"/>
  <c r="L246" i="1" s="1"/>
  <c r="K182" i="1"/>
  <c r="K308" i="1" s="1"/>
  <c r="K56" i="1" s="1"/>
  <c r="K120" i="1" s="1"/>
  <c r="K183" i="1" s="1"/>
  <c r="F182" i="1"/>
  <c r="F308" i="1" s="1"/>
  <c r="F56" i="1" s="1"/>
  <c r="F120" i="1" s="1"/>
  <c r="F246" i="1" s="1"/>
  <c r="L183" i="1"/>
  <c r="E182" i="1"/>
  <c r="E308" i="1" s="1"/>
  <c r="E56" i="1" s="1"/>
  <c r="E120" i="1" s="1"/>
  <c r="E246" i="1" s="1"/>
  <c r="O182" i="1"/>
  <c r="O308" i="1" s="1"/>
  <c r="O56" i="1" s="1"/>
  <c r="O120" i="1" s="1"/>
  <c r="H245" i="1"/>
  <c r="H308" i="1" s="1"/>
  <c r="H56" i="1" s="1"/>
  <c r="G182" i="1"/>
  <c r="G308" i="1" s="1"/>
  <c r="G56" i="1" s="1"/>
  <c r="G120" i="1" s="1"/>
  <c r="G183" i="1" s="1"/>
  <c r="C182" i="1"/>
  <c r="C308" i="1" s="1"/>
  <c r="C56" i="1" s="1"/>
  <c r="T182" i="1"/>
  <c r="T308" i="1" s="1"/>
  <c r="T56" i="1" s="1"/>
  <c r="T120" i="1" s="1"/>
  <c r="U182" i="1"/>
  <c r="U308" i="1" s="1"/>
  <c r="U56" i="1" s="1"/>
  <c r="U120" i="1" s="1"/>
  <c r="K246" i="1"/>
  <c r="K309" i="1" s="1"/>
  <c r="K57" i="1" s="1"/>
  <c r="Q182" i="1"/>
  <c r="Q308" i="1" s="1"/>
  <c r="Q56" i="1" s="1"/>
  <c r="Q120" i="1" s="1"/>
  <c r="M245" i="1"/>
  <c r="M308" i="1" s="1"/>
  <c r="M56" i="1" s="1"/>
  <c r="R245" i="1"/>
  <c r="R308" i="1" s="1"/>
  <c r="R56" i="1" s="1"/>
  <c r="I308" i="1"/>
  <c r="I56" i="1" s="1"/>
  <c r="I120" i="1" s="1"/>
  <c r="P182" i="1"/>
  <c r="P308" i="1" s="1"/>
  <c r="P56" i="1" s="1"/>
  <c r="P120" i="1" s="1"/>
  <c r="C373" i="1"/>
  <c r="J245" i="1"/>
  <c r="J308" i="1" s="1"/>
  <c r="J56" i="1" s="1"/>
  <c r="D182" i="1"/>
  <c r="D245" i="1"/>
  <c r="S182" i="1"/>
  <c r="S308" i="1" s="1"/>
  <c r="S56" i="1" s="1"/>
  <c r="F183" i="1" l="1"/>
  <c r="F371" i="1" s="1"/>
  <c r="G246" i="1"/>
  <c r="G371" i="1" s="1"/>
  <c r="K371" i="1"/>
  <c r="E183" i="1"/>
  <c r="E371" i="1" s="1"/>
  <c r="L309" i="1"/>
  <c r="L57" i="1" s="1"/>
  <c r="L121" i="1" s="1"/>
  <c r="L371" i="1"/>
  <c r="N246" i="1"/>
  <c r="N183" i="1"/>
  <c r="I246" i="1"/>
  <c r="I183" i="1"/>
  <c r="P246" i="1"/>
  <c r="P183" i="1"/>
  <c r="P309" i="1" s="1"/>
  <c r="P57" i="1" s="1"/>
  <c r="P121" i="1" s="1"/>
  <c r="Q246" i="1"/>
  <c r="Q183" i="1"/>
  <c r="D308" i="1"/>
  <c r="D56" i="1" s="1"/>
  <c r="D120" i="1" s="1"/>
  <c r="R120" i="1"/>
  <c r="J120" i="1"/>
  <c r="H120" i="1"/>
  <c r="O246" i="1"/>
  <c r="O183" i="1"/>
  <c r="M120" i="1"/>
  <c r="K121" i="1"/>
  <c r="C120" i="1"/>
  <c r="T246" i="1"/>
  <c r="T183" i="1"/>
  <c r="S120" i="1"/>
  <c r="U246" i="1"/>
  <c r="U183" i="1"/>
  <c r="F309" i="1" l="1"/>
  <c r="F57" i="1" s="1"/>
  <c r="F121" i="1" s="1"/>
  <c r="G309" i="1"/>
  <c r="G57" i="1" s="1"/>
  <c r="E309" i="1"/>
  <c r="E57" i="1" s="1"/>
  <c r="Q371" i="1"/>
  <c r="Q309" i="1"/>
  <c r="Q57" i="1" s="1"/>
  <c r="Q121" i="1" s="1"/>
  <c r="P371" i="1"/>
  <c r="I371" i="1"/>
  <c r="I309" i="1"/>
  <c r="I57" i="1" s="1"/>
  <c r="I121" i="1" s="1"/>
  <c r="I247" i="1" s="1"/>
  <c r="N309" i="1"/>
  <c r="N57" i="1" s="1"/>
  <c r="N121" i="1" s="1"/>
  <c r="N371" i="1"/>
  <c r="G121" i="1"/>
  <c r="E121" i="1"/>
  <c r="Q184" i="1"/>
  <c r="Q247" i="1"/>
  <c r="P184" i="1"/>
  <c r="P247" i="1"/>
  <c r="D183" i="1"/>
  <c r="D246" i="1"/>
  <c r="F247" i="1"/>
  <c r="F184" i="1"/>
  <c r="O371" i="1"/>
  <c r="O309" i="1"/>
  <c r="O57" i="1" s="1"/>
  <c r="H183" i="1"/>
  <c r="H246" i="1"/>
  <c r="C246" i="1"/>
  <c r="C183" i="1"/>
  <c r="L247" i="1"/>
  <c r="L184" i="1"/>
  <c r="T371" i="1"/>
  <c r="T309" i="1"/>
  <c r="T57" i="1" s="1"/>
  <c r="J183" i="1"/>
  <c r="J246" i="1"/>
  <c r="K184" i="1"/>
  <c r="K247" i="1"/>
  <c r="U371" i="1"/>
  <c r="U309" i="1"/>
  <c r="U57" i="1" s="1"/>
  <c r="R183" i="1"/>
  <c r="R246" i="1"/>
  <c r="S246" i="1"/>
  <c r="S183" i="1"/>
  <c r="M246" i="1"/>
  <c r="M183" i="1"/>
  <c r="N184" i="1" l="1"/>
  <c r="N247" i="1"/>
  <c r="I184" i="1"/>
  <c r="R309" i="1"/>
  <c r="R57" i="1" s="1"/>
  <c r="R371" i="1"/>
  <c r="F372" i="1"/>
  <c r="F310" i="1"/>
  <c r="F58" i="1" s="1"/>
  <c r="P372" i="1"/>
  <c r="P310" i="1"/>
  <c r="P58" i="1" s="1"/>
  <c r="H371" i="1"/>
  <c r="H309" i="1"/>
  <c r="H57" i="1" s="1"/>
  <c r="U121" i="1"/>
  <c r="J309" i="1"/>
  <c r="J57" i="1" s="1"/>
  <c r="J371" i="1"/>
  <c r="E184" i="1"/>
  <c r="E247" i="1"/>
  <c r="L310" i="1"/>
  <c r="L58" i="1" s="1"/>
  <c r="L372" i="1"/>
  <c r="C371" i="1"/>
  <c r="C309" i="1"/>
  <c r="C57" i="1" s="1"/>
  <c r="G247" i="1"/>
  <c r="G184" i="1"/>
  <c r="M309" i="1"/>
  <c r="M57" i="1" s="1"/>
  <c r="M371" i="1"/>
  <c r="S309" i="1"/>
  <c r="S57" i="1" s="1"/>
  <c r="S371" i="1"/>
  <c r="O121" i="1"/>
  <c r="K372" i="1"/>
  <c r="K310" i="1"/>
  <c r="K58" i="1" s="1"/>
  <c r="D371" i="1"/>
  <c r="D309" i="1"/>
  <c r="D57" i="1" s="1"/>
  <c r="T121" i="1"/>
  <c r="Q310" i="1"/>
  <c r="Q58" i="1" s="1"/>
  <c r="Q372" i="1"/>
  <c r="I372" i="1"/>
  <c r="I310" i="1"/>
  <c r="I58" i="1" s="1"/>
  <c r="N310" i="1" l="1"/>
  <c r="N58" i="1" s="1"/>
  <c r="N122" i="1" s="1"/>
  <c r="N185" i="1" s="1"/>
  <c r="N372" i="1"/>
  <c r="E310" i="1"/>
  <c r="E58" i="1" s="1"/>
  <c r="E372" i="1"/>
  <c r="H121" i="1"/>
  <c r="P122" i="1"/>
  <c r="M121" i="1"/>
  <c r="D121" i="1"/>
  <c r="K122" i="1"/>
  <c r="J121" i="1"/>
  <c r="U184" i="1"/>
  <c r="U247" i="1"/>
  <c r="F122" i="1"/>
  <c r="C121" i="1"/>
  <c r="L23" i="1"/>
  <c r="L24" i="1" s="1"/>
  <c r="L26" i="1"/>
  <c r="L25" i="1" s="1"/>
  <c r="O247" i="1"/>
  <c r="O184" i="1"/>
  <c r="S121" i="1"/>
  <c r="I122" i="1"/>
  <c r="G310" i="1"/>
  <c r="G58" i="1" s="1"/>
  <c r="G372" i="1"/>
  <c r="Q122" i="1"/>
  <c r="T247" i="1"/>
  <c r="T184" i="1"/>
  <c r="R121" i="1"/>
  <c r="N248" i="1" l="1"/>
  <c r="K185" i="1"/>
  <c r="K248" i="1"/>
  <c r="C247" i="1"/>
  <c r="C184" i="1"/>
  <c r="M184" i="1"/>
  <c r="M247" i="1"/>
  <c r="O372" i="1"/>
  <c r="O310" i="1"/>
  <c r="O58" i="1" s="1"/>
  <c r="G122" i="1"/>
  <c r="P248" i="1"/>
  <c r="P185" i="1"/>
  <c r="F248" i="1"/>
  <c r="F185" i="1"/>
  <c r="D247" i="1"/>
  <c r="D184" i="1"/>
  <c r="H247" i="1"/>
  <c r="H184" i="1"/>
  <c r="J184" i="1"/>
  <c r="J247" i="1"/>
  <c r="E122" i="1"/>
  <c r="Q248" i="1"/>
  <c r="Q185" i="1"/>
  <c r="T372" i="1"/>
  <c r="T310" i="1"/>
  <c r="T58" i="1" s="1"/>
  <c r="U372" i="1"/>
  <c r="U310" i="1"/>
  <c r="U58" i="1" s="1"/>
  <c r="I185" i="1"/>
  <c r="I248" i="1"/>
  <c r="R247" i="1"/>
  <c r="R184" i="1"/>
  <c r="S247" i="1"/>
  <c r="S184" i="1"/>
  <c r="N311" i="1"/>
  <c r="N59" i="1" s="1"/>
  <c r="N373" i="1"/>
  <c r="F311" i="1" l="1"/>
  <c r="F59" i="1" s="1"/>
  <c r="F373" i="1"/>
  <c r="N123" i="1"/>
  <c r="H310" i="1"/>
  <c r="H58" i="1" s="1"/>
  <c r="H372" i="1"/>
  <c r="G185" i="1"/>
  <c r="G248" i="1"/>
  <c r="M310" i="1"/>
  <c r="M58" i="1" s="1"/>
  <c r="M372" i="1"/>
  <c r="E248" i="1"/>
  <c r="E185" i="1"/>
  <c r="C372" i="1"/>
  <c r="C310" i="1"/>
  <c r="C58" i="1" s="1"/>
  <c r="U122" i="1"/>
  <c r="S310" i="1"/>
  <c r="S58" i="1" s="1"/>
  <c r="S372" i="1"/>
  <c r="D372" i="1"/>
  <c r="D310" i="1"/>
  <c r="D58" i="1" s="1"/>
  <c r="R372" i="1"/>
  <c r="R310" i="1"/>
  <c r="R58" i="1" s="1"/>
  <c r="I373" i="1"/>
  <c r="I311" i="1"/>
  <c r="I59" i="1" s="1"/>
  <c r="O122" i="1"/>
  <c r="Q373" i="1"/>
  <c r="Q311" i="1"/>
  <c r="Q59" i="1" s="1"/>
  <c r="P311" i="1"/>
  <c r="P59" i="1" s="1"/>
  <c r="P373" i="1"/>
  <c r="T122" i="1"/>
  <c r="J372" i="1"/>
  <c r="J310" i="1"/>
  <c r="J58" i="1" s="1"/>
  <c r="K311" i="1"/>
  <c r="K59" i="1" s="1"/>
  <c r="K373" i="1"/>
  <c r="O248" i="1" l="1"/>
  <c r="O185" i="1"/>
  <c r="U248" i="1"/>
  <c r="U185" i="1"/>
  <c r="C26" i="1"/>
  <c r="C25" i="1" s="1"/>
  <c r="C23" i="1"/>
  <c r="C24" i="1" s="1"/>
  <c r="M122" i="1"/>
  <c r="H122" i="1"/>
  <c r="Q123" i="1"/>
  <c r="I123" i="1"/>
  <c r="R122" i="1"/>
  <c r="D122" i="1"/>
  <c r="K123" i="1"/>
  <c r="S122" i="1"/>
  <c r="N186" i="1"/>
  <c r="N249" i="1"/>
  <c r="T248" i="1"/>
  <c r="T185" i="1"/>
  <c r="P123" i="1"/>
  <c r="E311" i="1"/>
  <c r="E59" i="1" s="1"/>
  <c r="E373" i="1"/>
  <c r="G311" i="1"/>
  <c r="G59" i="1" s="1"/>
  <c r="G373" i="1"/>
  <c r="J122" i="1"/>
  <c r="F123" i="1"/>
  <c r="U373" i="1" l="1"/>
  <c r="U311" i="1"/>
  <c r="U59" i="1" s="1"/>
  <c r="Q186" i="1"/>
  <c r="Q249" i="1"/>
  <c r="K186" i="1"/>
  <c r="K249" i="1"/>
  <c r="O311" i="1"/>
  <c r="O59" i="1" s="1"/>
  <c r="O373" i="1"/>
  <c r="M185" i="1"/>
  <c r="M248" i="1"/>
  <c r="F249" i="1"/>
  <c r="F186" i="1"/>
  <c r="N312" i="1"/>
  <c r="N60" i="1" s="1"/>
  <c r="N374" i="1"/>
  <c r="S185" i="1"/>
  <c r="S248" i="1"/>
  <c r="D248" i="1"/>
  <c r="D185" i="1"/>
  <c r="E123" i="1"/>
  <c r="P249" i="1"/>
  <c r="P186" i="1"/>
  <c r="T373" i="1"/>
  <c r="T311" i="1"/>
  <c r="T59" i="1" s="1"/>
  <c r="I186" i="1"/>
  <c r="I249" i="1"/>
  <c r="H248" i="1"/>
  <c r="H185" i="1"/>
  <c r="J185" i="1"/>
  <c r="J248" i="1"/>
  <c r="G123" i="1"/>
  <c r="R185" i="1"/>
  <c r="R248" i="1"/>
  <c r="G249" i="1" l="1"/>
  <c r="G186" i="1"/>
  <c r="S373" i="1"/>
  <c r="S311" i="1"/>
  <c r="S59" i="1" s="1"/>
  <c r="J373" i="1"/>
  <c r="J311" i="1"/>
  <c r="J59" i="1" s="1"/>
  <c r="R311" i="1"/>
  <c r="R59" i="1" s="1"/>
  <c r="R373" i="1"/>
  <c r="H373" i="1"/>
  <c r="H311" i="1"/>
  <c r="H59" i="1" s="1"/>
  <c r="O123" i="1"/>
  <c r="Q312" i="1"/>
  <c r="Q60" i="1" s="1"/>
  <c r="Q374" i="1"/>
  <c r="I312" i="1"/>
  <c r="I60" i="1" s="1"/>
  <c r="I374" i="1"/>
  <c r="T123" i="1"/>
  <c r="K312" i="1"/>
  <c r="K60" i="1" s="1"/>
  <c r="K374" i="1"/>
  <c r="E186" i="1"/>
  <c r="E249" i="1"/>
  <c r="D311" i="1"/>
  <c r="D59" i="1" s="1"/>
  <c r="D373" i="1"/>
  <c r="U123" i="1"/>
  <c r="N124" i="1"/>
  <c r="F374" i="1"/>
  <c r="F312" i="1"/>
  <c r="F60" i="1" s="1"/>
  <c r="M373" i="1"/>
  <c r="M311" i="1"/>
  <c r="M59" i="1" s="1"/>
  <c r="P374" i="1"/>
  <c r="P312" i="1"/>
  <c r="P60" i="1" s="1"/>
  <c r="O249" i="1" l="1"/>
  <c r="O186" i="1"/>
  <c r="I124" i="1"/>
  <c r="M123" i="1"/>
  <c r="F124" i="1"/>
  <c r="J123" i="1"/>
  <c r="R123" i="1"/>
  <c r="N187" i="1"/>
  <c r="N250" i="1"/>
  <c r="U186" i="1"/>
  <c r="U249" i="1"/>
  <c r="S123" i="1"/>
  <c r="H123" i="1"/>
  <c r="D123" i="1"/>
  <c r="P124" i="1"/>
  <c r="G312" i="1"/>
  <c r="G60" i="1" s="1"/>
  <c r="G374" i="1"/>
  <c r="Q124" i="1"/>
  <c r="E312" i="1"/>
  <c r="E60" i="1" s="1"/>
  <c r="E374" i="1"/>
  <c r="K124" i="1"/>
  <c r="T186" i="1"/>
  <c r="T249" i="1"/>
  <c r="F187" i="1" l="1"/>
  <c r="F250" i="1"/>
  <c r="S249" i="1"/>
  <c r="S186" i="1"/>
  <c r="J249" i="1"/>
  <c r="J186" i="1"/>
  <c r="K250" i="1"/>
  <c r="K187" i="1"/>
  <c r="R186" i="1"/>
  <c r="R249" i="1"/>
  <c r="E124" i="1"/>
  <c r="Q250" i="1"/>
  <c r="Q187" i="1"/>
  <c r="D249" i="1"/>
  <c r="D186" i="1"/>
  <c r="T312" i="1"/>
  <c r="T60" i="1" s="1"/>
  <c r="T374" i="1"/>
  <c r="H186" i="1"/>
  <c r="H249" i="1"/>
  <c r="M186" i="1"/>
  <c r="M249" i="1"/>
  <c r="P187" i="1"/>
  <c r="P250" i="1"/>
  <c r="O374" i="1"/>
  <c r="O312" i="1"/>
  <c r="O60" i="1" s="1"/>
  <c r="I187" i="1"/>
  <c r="I250" i="1"/>
  <c r="G124" i="1"/>
  <c r="U312" i="1"/>
  <c r="U60" i="1" s="1"/>
  <c r="U374" i="1"/>
  <c r="N375" i="1"/>
  <c r="N313" i="1"/>
  <c r="N61" i="1" s="1"/>
  <c r="D374" i="1" l="1"/>
  <c r="D312" i="1"/>
  <c r="D60" i="1" s="1"/>
  <c r="N125" i="1"/>
  <c r="T124" i="1"/>
  <c r="I375" i="1"/>
  <c r="I313" i="1"/>
  <c r="I61" i="1" s="1"/>
  <c r="J374" i="1"/>
  <c r="J312" i="1"/>
  <c r="J60" i="1" s="1"/>
  <c r="U124" i="1"/>
  <c r="O124" i="1"/>
  <c r="R312" i="1"/>
  <c r="R60" i="1" s="1"/>
  <c r="R374" i="1"/>
  <c r="S374" i="1"/>
  <c r="S312" i="1"/>
  <c r="S60" i="1" s="1"/>
  <c r="H374" i="1"/>
  <c r="H312" i="1"/>
  <c r="H60" i="1" s="1"/>
  <c r="Q375" i="1"/>
  <c r="Q313" i="1"/>
  <c r="Q61" i="1" s="1"/>
  <c r="P375" i="1"/>
  <c r="P313" i="1"/>
  <c r="P61" i="1" s="1"/>
  <c r="M374" i="1"/>
  <c r="M312" i="1"/>
  <c r="M60" i="1" s="1"/>
  <c r="G187" i="1"/>
  <c r="G250" i="1"/>
  <c r="E187" i="1"/>
  <c r="E250" i="1"/>
  <c r="K375" i="1"/>
  <c r="K313" i="1"/>
  <c r="K61" i="1" s="1"/>
  <c r="F375" i="1"/>
  <c r="F313" i="1"/>
  <c r="F61" i="1" s="1"/>
  <c r="U250" i="1" l="1"/>
  <c r="U187" i="1"/>
  <c r="H124" i="1"/>
  <c r="K125" i="1"/>
  <c r="E375" i="1"/>
  <c r="E313" i="1"/>
  <c r="E61" i="1" s="1"/>
  <c r="P125" i="1"/>
  <c r="T250" i="1"/>
  <c r="T187" i="1"/>
  <c r="G313" i="1"/>
  <c r="G61" i="1" s="1"/>
  <c r="G375" i="1"/>
  <c r="S124" i="1"/>
  <c r="R124" i="1"/>
  <c r="M124" i="1"/>
  <c r="I125" i="1"/>
  <c r="N251" i="1"/>
  <c r="N188" i="1"/>
  <c r="O250" i="1"/>
  <c r="O187" i="1"/>
  <c r="J124" i="1"/>
  <c r="Q125" i="1"/>
  <c r="D124" i="1"/>
  <c r="F125" i="1"/>
  <c r="G125" i="1" l="1"/>
  <c r="D250" i="1"/>
  <c r="D187" i="1"/>
  <c r="I188" i="1"/>
  <c r="I251" i="1"/>
  <c r="M250" i="1"/>
  <c r="M187" i="1"/>
  <c r="K188" i="1"/>
  <c r="K251" i="1"/>
  <c r="J250" i="1"/>
  <c r="J187" i="1"/>
  <c r="O313" i="1"/>
  <c r="O61" i="1" s="1"/>
  <c r="O375" i="1"/>
  <c r="P188" i="1"/>
  <c r="P251" i="1"/>
  <c r="Q251" i="1"/>
  <c r="Q188" i="1"/>
  <c r="F188" i="1"/>
  <c r="F251" i="1"/>
  <c r="T313" i="1"/>
  <c r="T61" i="1" s="1"/>
  <c r="T375" i="1"/>
  <c r="H250" i="1"/>
  <c r="H187" i="1"/>
  <c r="N314" i="1"/>
  <c r="N62" i="1" s="1"/>
  <c r="N376" i="1"/>
  <c r="U313" i="1"/>
  <c r="U61" i="1" s="1"/>
  <c r="U375" i="1"/>
  <c r="E125" i="1"/>
  <c r="R250" i="1"/>
  <c r="R187" i="1"/>
  <c r="S187" i="1"/>
  <c r="S250" i="1"/>
  <c r="P376" i="1" l="1"/>
  <c r="P314" i="1"/>
  <c r="P62" i="1" s="1"/>
  <c r="Q314" i="1"/>
  <c r="Q62" i="1" s="1"/>
  <c r="Q376" i="1"/>
  <c r="O125" i="1"/>
  <c r="M375" i="1"/>
  <c r="M313" i="1"/>
  <c r="M61" i="1" s="1"/>
  <c r="N126" i="1"/>
  <c r="I376" i="1"/>
  <c r="I314" i="1"/>
  <c r="I62" i="1" s="1"/>
  <c r="D313" i="1"/>
  <c r="D61" i="1" s="1"/>
  <c r="D375" i="1"/>
  <c r="S313" i="1"/>
  <c r="S61" i="1" s="1"/>
  <c r="S375" i="1"/>
  <c r="R313" i="1"/>
  <c r="R61" i="1" s="1"/>
  <c r="R375" i="1"/>
  <c r="K314" i="1"/>
  <c r="K62" i="1" s="1"/>
  <c r="K376" i="1"/>
  <c r="H375" i="1"/>
  <c r="H313" i="1"/>
  <c r="H61" i="1" s="1"/>
  <c r="G251" i="1"/>
  <c r="G188" i="1"/>
  <c r="E188" i="1"/>
  <c r="E251" i="1"/>
  <c r="J375" i="1"/>
  <c r="J313" i="1"/>
  <c r="J61" i="1" s="1"/>
  <c r="U125" i="1"/>
  <c r="T125" i="1"/>
  <c r="F376" i="1"/>
  <c r="F314" i="1"/>
  <c r="F62" i="1" s="1"/>
  <c r="J125" i="1" l="1"/>
  <c r="N189" i="1"/>
  <c r="N252" i="1"/>
  <c r="O251" i="1"/>
  <c r="O188" i="1"/>
  <c r="T251" i="1"/>
  <c r="T188" i="1"/>
  <c r="S125" i="1"/>
  <c r="U188" i="1"/>
  <c r="U251" i="1"/>
  <c r="G314" i="1"/>
  <c r="G62" i="1" s="1"/>
  <c r="G376" i="1"/>
  <c r="F126" i="1"/>
  <c r="R125" i="1"/>
  <c r="D26" i="1"/>
  <c r="D25" i="1" s="1"/>
  <c r="D23" i="1"/>
  <c r="D24" i="1" s="1"/>
  <c r="M26" i="1"/>
  <c r="M25" i="1" s="1"/>
  <c r="M23" i="1"/>
  <c r="M24" i="1" s="1"/>
  <c r="K126" i="1"/>
  <c r="Q126" i="1"/>
  <c r="P126" i="1"/>
  <c r="I126" i="1"/>
  <c r="E314" i="1"/>
  <c r="E62" i="1" s="1"/>
  <c r="E376" i="1"/>
  <c r="H125" i="1"/>
  <c r="E126" i="1" l="1"/>
  <c r="I189" i="1"/>
  <c r="I252" i="1"/>
  <c r="K252" i="1"/>
  <c r="K189" i="1"/>
  <c r="S251" i="1"/>
  <c r="S188" i="1"/>
  <c r="Q252" i="1"/>
  <c r="Q189" i="1"/>
  <c r="U314" i="1"/>
  <c r="U62" i="1" s="1"/>
  <c r="U376" i="1"/>
  <c r="T376" i="1"/>
  <c r="T314" i="1"/>
  <c r="T62" i="1" s="1"/>
  <c r="N315" i="1"/>
  <c r="N63" i="1" s="1"/>
  <c r="N377" i="1"/>
  <c r="P189" i="1"/>
  <c r="P252" i="1"/>
  <c r="O314" i="1"/>
  <c r="O62" i="1" s="1"/>
  <c r="O376" i="1"/>
  <c r="J188" i="1"/>
  <c r="J251" i="1"/>
  <c r="R188" i="1"/>
  <c r="R251" i="1"/>
  <c r="G126" i="1"/>
  <c r="H188" i="1"/>
  <c r="H251" i="1"/>
  <c r="F252" i="1"/>
  <c r="F189" i="1"/>
  <c r="P315" i="1" l="1"/>
  <c r="P63" i="1" s="1"/>
  <c r="P377" i="1"/>
  <c r="G252" i="1"/>
  <c r="G189" i="1"/>
  <c r="N127" i="1"/>
  <c r="Q377" i="1"/>
  <c r="Q315" i="1"/>
  <c r="Q63" i="1" s="1"/>
  <c r="S314" i="1"/>
  <c r="S62" i="1" s="1"/>
  <c r="S376" i="1"/>
  <c r="O126" i="1"/>
  <c r="U126" i="1"/>
  <c r="I377" i="1"/>
  <c r="I315" i="1"/>
  <c r="I63" i="1" s="1"/>
  <c r="T126" i="1"/>
  <c r="R314" i="1"/>
  <c r="R62" i="1" s="1"/>
  <c r="R376" i="1"/>
  <c r="E252" i="1"/>
  <c r="E189" i="1"/>
  <c r="F377" i="1"/>
  <c r="F315" i="1"/>
  <c r="F63" i="1" s="1"/>
  <c r="H314" i="1"/>
  <c r="H62" i="1" s="1"/>
  <c r="H376" i="1"/>
  <c r="K377" i="1"/>
  <c r="K315" i="1"/>
  <c r="K63" i="1" s="1"/>
  <c r="J314" i="1"/>
  <c r="J62" i="1" s="1"/>
  <c r="J376" i="1"/>
  <c r="K127" i="1" l="1"/>
  <c r="N253" i="1"/>
  <c r="N190" i="1"/>
  <c r="R126" i="1"/>
  <c r="U189" i="1"/>
  <c r="U252" i="1"/>
  <c r="S126" i="1"/>
  <c r="F127" i="1"/>
  <c r="G377" i="1"/>
  <c r="G315" i="1"/>
  <c r="G63" i="1" s="1"/>
  <c r="I127" i="1"/>
  <c r="O252" i="1"/>
  <c r="O189" i="1"/>
  <c r="Q127" i="1"/>
  <c r="T189" i="1"/>
  <c r="T252" i="1"/>
  <c r="E377" i="1"/>
  <c r="E315" i="1"/>
  <c r="E63" i="1" s="1"/>
  <c r="J126" i="1"/>
  <c r="H126" i="1"/>
  <c r="P127" i="1"/>
  <c r="G127" i="1" l="1"/>
  <c r="H189" i="1"/>
  <c r="H252" i="1"/>
  <c r="P253" i="1"/>
  <c r="P190" i="1"/>
  <c r="U377" i="1"/>
  <c r="U315" i="1"/>
  <c r="U63" i="1" s="1"/>
  <c r="E127" i="1"/>
  <c r="N316" i="1"/>
  <c r="N64" i="1" s="1"/>
  <c r="N378" i="1"/>
  <c r="O377" i="1"/>
  <c r="O315" i="1"/>
  <c r="O63" i="1" s="1"/>
  <c r="I253" i="1"/>
  <c r="I190" i="1"/>
  <c r="R252" i="1"/>
  <c r="R189" i="1"/>
  <c r="Q190" i="1"/>
  <c r="Q253" i="1"/>
  <c r="F190" i="1"/>
  <c r="F253" i="1"/>
  <c r="S252" i="1"/>
  <c r="S189" i="1"/>
  <c r="J189" i="1"/>
  <c r="J252" i="1"/>
  <c r="T377" i="1"/>
  <c r="T315" i="1"/>
  <c r="T63" i="1" s="1"/>
  <c r="K253" i="1"/>
  <c r="K190" i="1"/>
  <c r="I378" i="1" l="1"/>
  <c r="I316" i="1"/>
  <c r="I64" i="1" s="1"/>
  <c r="O127" i="1"/>
  <c r="E190" i="1"/>
  <c r="E253" i="1"/>
  <c r="R377" i="1"/>
  <c r="R315" i="1"/>
  <c r="R63" i="1" s="1"/>
  <c r="Q378" i="1"/>
  <c r="Q316" i="1"/>
  <c r="Q64" i="1" s="1"/>
  <c r="K378" i="1"/>
  <c r="K316" i="1"/>
  <c r="K64" i="1" s="1"/>
  <c r="T127" i="1"/>
  <c r="H377" i="1"/>
  <c r="H315" i="1"/>
  <c r="H63" i="1" s="1"/>
  <c r="N23" i="1"/>
  <c r="N24" i="1" s="1"/>
  <c r="N26" i="1"/>
  <c r="N25" i="1" s="1"/>
  <c r="U127" i="1"/>
  <c r="P378" i="1"/>
  <c r="P316" i="1"/>
  <c r="P64" i="1" s="1"/>
  <c r="J377" i="1"/>
  <c r="J315" i="1"/>
  <c r="J63" i="1" s="1"/>
  <c r="S315" i="1"/>
  <c r="S63" i="1" s="1"/>
  <c r="S377" i="1"/>
  <c r="F316" i="1"/>
  <c r="F64" i="1" s="1"/>
  <c r="F378" i="1"/>
  <c r="G253" i="1"/>
  <c r="G190" i="1"/>
  <c r="Q128" i="1" l="1"/>
  <c r="E378" i="1"/>
  <c r="E316" i="1"/>
  <c r="E64" i="1" s="1"/>
  <c r="K128" i="1"/>
  <c r="S127" i="1"/>
  <c r="O190" i="1"/>
  <c r="O253" i="1"/>
  <c r="G316" i="1"/>
  <c r="G64" i="1" s="1"/>
  <c r="G378" i="1"/>
  <c r="H127" i="1"/>
  <c r="T190" i="1"/>
  <c r="T253" i="1"/>
  <c r="F128" i="1"/>
  <c r="I128" i="1"/>
  <c r="U190" i="1"/>
  <c r="U253" i="1"/>
  <c r="R127" i="1"/>
  <c r="J127" i="1"/>
  <c r="P128" i="1"/>
  <c r="I254" i="1" l="1"/>
  <c r="I191" i="1"/>
  <c r="H190" i="1"/>
  <c r="H253" i="1"/>
  <c r="F254" i="1"/>
  <c r="F191" i="1"/>
  <c r="O378" i="1"/>
  <c r="O316" i="1"/>
  <c r="O64" i="1" s="1"/>
  <c r="S190" i="1"/>
  <c r="S253" i="1"/>
  <c r="K254" i="1"/>
  <c r="K191" i="1"/>
  <c r="T378" i="1"/>
  <c r="T316" i="1"/>
  <c r="T64" i="1" s="1"/>
  <c r="G128" i="1"/>
  <c r="P191" i="1"/>
  <c r="P254" i="1"/>
  <c r="J253" i="1"/>
  <c r="J190" i="1"/>
  <c r="R253" i="1"/>
  <c r="R190" i="1"/>
  <c r="E23" i="1"/>
  <c r="E24" i="1" s="1"/>
  <c r="E26" i="1"/>
  <c r="E25" i="1" s="1"/>
  <c r="U316" i="1"/>
  <c r="U64" i="1" s="1"/>
  <c r="U378" i="1"/>
  <c r="Q191" i="1"/>
  <c r="Q254" i="1"/>
  <c r="S378" i="1" l="1"/>
  <c r="S316" i="1"/>
  <c r="S64" i="1" s="1"/>
  <c r="T128" i="1"/>
  <c r="Q317" i="1"/>
  <c r="Q65" i="1" s="1"/>
  <c r="Q379" i="1"/>
  <c r="J316" i="1"/>
  <c r="J64" i="1" s="1"/>
  <c r="J378" i="1"/>
  <c r="P317" i="1"/>
  <c r="P65" i="1" s="1"/>
  <c r="P379" i="1"/>
  <c r="G254" i="1"/>
  <c r="G191" i="1"/>
  <c r="K317" i="1"/>
  <c r="K65" i="1" s="1"/>
  <c r="K379" i="1"/>
  <c r="O128" i="1"/>
  <c r="F317" i="1"/>
  <c r="F65" i="1" s="1"/>
  <c r="F379" i="1"/>
  <c r="U128" i="1"/>
  <c r="H316" i="1"/>
  <c r="H64" i="1" s="1"/>
  <c r="H378" i="1"/>
  <c r="R316" i="1"/>
  <c r="R64" i="1" s="1"/>
  <c r="R378" i="1"/>
  <c r="I317" i="1"/>
  <c r="I65" i="1" s="1"/>
  <c r="I379" i="1"/>
  <c r="Q129" i="1" l="1"/>
  <c r="G379" i="1"/>
  <c r="G317" i="1"/>
  <c r="G65" i="1" s="1"/>
  <c r="J128" i="1"/>
  <c r="T254" i="1"/>
  <c r="T191" i="1"/>
  <c r="K129" i="1"/>
  <c r="U254" i="1"/>
  <c r="U191" i="1"/>
  <c r="I129" i="1"/>
  <c r="S128" i="1"/>
  <c r="F23" i="1"/>
  <c r="F24" i="1" s="1"/>
  <c r="F26" i="1"/>
  <c r="F25" i="1" s="1"/>
  <c r="O191" i="1"/>
  <c r="O254" i="1"/>
  <c r="P129" i="1"/>
  <c r="R128" i="1"/>
  <c r="H128" i="1"/>
  <c r="I255" i="1" l="1"/>
  <c r="I192" i="1"/>
  <c r="G129" i="1"/>
  <c r="O379" i="1"/>
  <c r="O317" i="1"/>
  <c r="O65" i="1" s="1"/>
  <c r="U379" i="1"/>
  <c r="U317" i="1"/>
  <c r="U65" i="1" s="1"/>
  <c r="T317" i="1"/>
  <c r="T65" i="1" s="1"/>
  <c r="T379" i="1"/>
  <c r="S254" i="1"/>
  <c r="S191" i="1"/>
  <c r="K255" i="1"/>
  <c r="K192" i="1"/>
  <c r="J191" i="1"/>
  <c r="J254" i="1"/>
  <c r="H191" i="1"/>
  <c r="H254" i="1"/>
  <c r="R254" i="1"/>
  <c r="R191" i="1"/>
  <c r="P255" i="1"/>
  <c r="P192" i="1"/>
  <c r="Q192" i="1"/>
  <c r="Q255" i="1"/>
  <c r="U129" i="1" l="1"/>
  <c r="O26" i="1"/>
  <c r="O25" i="1" s="1"/>
  <c r="O23" i="1"/>
  <c r="O24" i="1" s="1"/>
  <c r="H379" i="1"/>
  <c r="H317" i="1"/>
  <c r="H65" i="1" s="1"/>
  <c r="K380" i="1"/>
  <c r="K318" i="1"/>
  <c r="K66" i="1" s="1"/>
  <c r="S379" i="1"/>
  <c r="S317" i="1"/>
  <c r="S65" i="1" s="1"/>
  <c r="P318" i="1"/>
  <c r="P66" i="1" s="1"/>
  <c r="P380" i="1"/>
  <c r="I318" i="1"/>
  <c r="I66" i="1" s="1"/>
  <c r="I380" i="1"/>
  <c r="R379" i="1"/>
  <c r="R317" i="1"/>
  <c r="R65" i="1" s="1"/>
  <c r="J379" i="1"/>
  <c r="J317" i="1"/>
  <c r="J65" i="1" s="1"/>
  <c r="T129" i="1"/>
  <c r="Q318" i="1"/>
  <c r="Q66" i="1" s="1"/>
  <c r="Q380" i="1"/>
  <c r="G255" i="1"/>
  <c r="G192" i="1"/>
  <c r="T192" i="1" l="1"/>
  <c r="T255" i="1"/>
  <c r="R129" i="1"/>
  <c r="I130" i="1"/>
  <c r="S129" i="1"/>
  <c r="K130" i="1"/>
  <c r="G318" i="1"/>
  <c r="G66" i="1" s="1"/>
  <c r="G380" i="1"/>
  <c r="J129" i="1"/>
  <c r="P130" i="1"/>
  <c r="H129" i="1"/>
  <c r="Q130" i="1"/>
  <c r="U192" i="1"/>
  <c r="U255" i="1"/>
  <c r="J255" i="1" l="1"/>
  <c r="J192" i="1"/>
  <c r="S255" i="1"/>
  <c r="S192" i="1"/>
  <c r="R255" i="1"/>
  <c r="R192" i="1"/>
  <c r="Q256" i="1"/>
  <c r="Q193" i="1"/>
  <c r="P193" i="1"/>
  <c r="P256" i="1"/>
  <c r="G130" i="1"/>
  <c r="K256" i="1"/>
  <c r="K193" i="1"/>
  <c r="H192" i="1"/>
  <c r="H255" i="1"/>
  <c r="I193" i="1"/>
  <c r="I256" i="1"/>
  <c r="U318" i="1"/>
  <c r="U66" i="1" s="1"/>
  <c r="U380" i="1"/>
  <c r="T318" i="1"/>
  <c r="T66" i="1" s="1"/>
  <c r="T380" i="1"/>
  <c r="K319" i="1" l="1"/>
  <c r="K67" i="1" s="1"/>
  <c r="K381" i="1"/>
  <c r="I319" i="1"/>
  <c r="I67" i="1" s="1"/>
  <c r="I381" i="1"/>
  <c r="Q319" i="1"/>
  <c r="Q67" i="1" s="1"/>
  <c r="Q381" i="1"/>
  <c r="U130" i="1"/>
  <c r="P319" i="1"/>
  <c r="P67" i="1" s="1"/>
  <c r="P381" i="1"/>
  <c r="J380" i="1"/>
  <c r="J318" i="1"/>
  <c r="J66" i="1" s="1"/>
  <c r="H380" i="1"/>
  <c r="H318" i="1"/>
  <c r="H66" i="1" s="1"/>
  <c r="G256" i="1"/>
  <c r="G193" i="1"/>
  <c r="R380" i="1"/>
  <c r="R318" i="1"/>
  <c r="R66" i="1" s="1"/>
  <c r="S380" i="1"/>
  <c r="S318" i="1"/>
  <c r="S66" i="1" s="1"/>
  <c r="T130" i="1"/>
  <c r="J130" i="1" l="1"/>
  <c r="S130" i="1"/>
  <c r="H130" i="1"/>
  <c r="I131" i="1"/>
  <c r="R130" i="1"/>
  <c r="G319" i="1"/>
  <c r="G67" i="1" s="1"/>
  <c r="G381" i="1"/>
  <c r="P23" i="1"/>
  <c r="P24" i="1" s="1"/>
  <c r="P26" i="1"/>
  <c r="P25" i="1" s="1"/>
  <c r="U193" i="1"/>
  <c r="U256" i="1"/>
  <c r="Q131" i="1"/>
  <c r="T256" i="1"/>
  <c r="T193" i="1"/>
  <c r="K131" i="1"/>
  <c r="G26" i="1" l="1"/>
  <c r="G25" i="1" s="1"/>
  <c r="G23" i="1"/>
  <c r="G24" i="1" s="1"/>
  <c r="T381" i="1"/>
  <c r="T319" i="1"/>
  <c r="T67" i="1" s="1"/>
  <c r="R256" i="1"/>
  <c r="R193" i="1"/>
  <c r="Q194" i="1"/>
  <c r="Q257" i="1"/>
  <c r="U381" i="1"/>
  <c r="U319" i="1"/>
  <c r="U67" i="1" s="1"/>
  <c r="I257" i="1"/>
  <c r="I194" i="1"/>
  <c r="H193" i="1"/>
  <c r="H256" i="1"/>
  <c r="S256" i="1"/>
  <c r="S193" i="1"/>
  <c r="K257" i="1"/>
  <c r="K194" i="1"/>
  <c r="J193" i="1"/>
  <c r="J256" i="1"/>
  <c r="J319" i="1" l="1"/>
  <c r="J67" i="1" s="1"/>
  <c r="J381" i="1"/>
  <c r="S319" i="1"/>
  <c r="S67" i="1" s="1"/>
  <c r="S381" i="1"/>
  <c r="U131" i="1"/>
  <c r="K320" i="1"/>
  <c r="K68" i="1" s="1"/>
  <c r="K382" i="1"/>
  <c r="T131" i="1"/>
  <c r="H381" i="1"/>
  <c r="H319" i="1"/>
  <c r="H67" i="1" s="1"/>
  <c r="I320" i="1"/>
  <c r="I68" i="1" s="1"/>
  <c r="I382" i="1"/>
  <c r="Q320" i="1"/>
  <c r="Q68" i="1" s="1"/>
  <c r="Q382" i="1"/>
  <c r="R381" i="1"/>
  <c r="R319" i="1"/>
  <c r="R67" i="1" s="1"/>
  <c r="T194" i="1" l="1"/>
  <c r="T257" i="1"/>
  <c r="Q132" i="1"/>
  <c r="H131" i="1"/>
  <c r="R131" i="1"/>
  <c r="I132" i="1"/>
  <c r="K132" i="1"/>
  <c r="U257" i="1"/>
  <c r="U194" i="1"/>
  <c r="S131" i="1"/>
  <c r="J131" i="1"/>
  <c r="U382" i="1" l="1"/>
  <c r="U320" i="1"/>
  <c r="U68" i="1" s="1"/>
  <c r="K195" i="1"/>
  <c r="K258" i="1"/>
  <c r="J194" i="1"/>
  <c r="J257" i="1"/>
  <c r="S257" i="1"/>
  <c r="S194" i="1"/>
  <c r="I195" i="1"/>
  <c r="I258" i="1"/>
  <c r="R194" i="1"/>
  <c r="R257" i="1"/>
  <c r="H194" i="1"/>
  <c r="H257" i="1"/>
  <c r="Q258" i="1"/>
  <c r="Q195" i="1"/>
  <c r="T382" i="1"/>
  <c r="T320" i="1"/>
  <c r="T68" i="1" s="1"/>
  <c r="H382" i="1" l="1"/>
  <c r="H320" i="1"/>
  <c r="H68" i="1" s="1"/>
  <c r="Q383" i="1"/>
  <c r="Q321" i="1"/>
  <c r="Q69" i="1" s="1"/>
  <c r="R320" i="1"/>
  <c r="R68" i="1" s="1"/>
  <c r="R382" i="1"/>
  <c r="I321" i="1"/>
  <c r="I69" i="1" s="1"/>
  <c r="I383" i="1"/>
  <c r="K383" i="1"/>
  <c r="K321" i="1"/>
  <c r="K69" i="1" s="1"/>
  <c r="T132" i="1"/>
  <c r="S382" i="1"/>
  <c r="S320" i="1"/>
  <c r="S68" i="1" s="1"/>
  <c r="J382" i="1"/>
  <c r="J320" i="1"/>
  <c r="J68" i="1" s="1"/>
  <c r="U132" i="1"/>
  <c r="K133" i="1" l="1"/>
  <c r="I133" i="1"/>
  <c r="S132" i="1"/>
  <c r="T258" i="1"/>
  <c r="T195" i="1"/>
  <c r="R132" i="1"/>
  <c r="J132" i="1"/>
  <c r="H132" i="1"/>
  <c r="U195" i="1"/>
  <c r="U258" i="1"/>
  <c r="Q133" i="1"/>
  <c r="Q259" i="1" l="1"/>
  <c r="Q196" i="1"/>
  <c r="U383" i="1"/>
  <c r="U321" i="1"/>
  <c r="U69" i="1" s="1"/>
  <c r="J195" i="1"/>
  <c r="J258" i="1"/>
  <c r="R258" i="1"/>
  <c r="R195" i="1"/>
  <c r="S258" i="1"/>
  <c r="S195" i="1"/>
  <c r="K259" i="1"/>
  <c r="K196" i="1"/>
  <c r="H258" i="1"/>
  <c r="H195" i="1"/>
  <c r="T321" i="1"/>
  <c r="T69" i="1" s="1"/>
  <c r="T383" i="1"/>
  <c r="I196" i="1"/>
  <c r="I259" i="1"/>
  <c r="T133" i="1" l="1"/>
  <c r="K384" i="1"/>
  <c r="K322" i="1"/>
  <c r="K70" i="1" s="1"/>
  <c r="U133" i="1"/>
  <c r="I322" i="1"/>
  <c r="I70" i="1" s="1"/>
  <c r="I384" i="1"/>
  <c r="H383" i="1"/>
  <c r="H321" i="1"/>
  <c r="H69" i="1" s="1"/>
  <c r="S383" i="1"/>
  <c r="S321" i="1"/>
  <c r="S69" i="1" s="1"/>
  <c r="R383" i="1"/>
  <c r="R321" i="1"/>
  <c r="R69" i="1" s="1"/>
  <c r="J383" i="1"/>
  <c r="J321" i="1"/>
  <c r="J69" i="1" s="1"/>
  <c r="Q384" i="1"/>
  <c r="Q322" i="1"/>
  <c r="Q70" i="1" s="1"/>
  <c r="Q23" i="1" l="1"/>
  <c r="Q24" i="1" s="1"/>
  <c r="Q26" i="1"/>
  <c r="Q25" i="1" s="1"/>
  <c r="R133" i="1"/>
  <c r="U196" i="1"/>
  <c r="U259" i="1"/>
  <c r="J133" i="1"/>
  <c r="K134" i="1"/>
  <c r="S133" i="1"/>
  <c r="H133" i="1"/>
  <c r="I134" i="1"/>
  <c r="T259" i="1"/>
  <c r="T196" i="1"/>
  <c r="I197" i="1" l="1"/>
  <c r="I260" i="1"/>
  <c r="H259" i="1"/>
  <c r="H196" i="1"/>
  <c r="U384" i="1"/>
  <c r="U322" i="1"/>
  <c r="U70" i="1" s="1"/>
  <c r="T322" i="1"/>
  <c r="T70" i="1" s="1"/>
  <c r="T384" i="1"/>
  <c r="S259" i="1"/>
  <c r="S196" i="1"/>
  <c r="K260" i="1"/>
  <c r="K197" i="1"/>
  <c r="J259" i="1"/>
  <c r="J196" i="1"/>
  <c r="R259" i="1"/>
  <c r="R196" i="1"/>
  <c r="K323" i="1" l="1"/>
  <c r="K71" i="1" s="1"/>
  <c r="K385" i="1"/>
  <c r="R384" i="1"/>
  <c r="R322" i="1"/>
  <c r="R70" i="1" s="1"/>
  <c r="J322" i="1"/>
  <c r="J70" i="1" s="1"/>
  <c r="J384" i="1"/>
  <c r="T134" i="1"/>
  <c r="S384" i="1"/>
  <c r="S322" i="1"/>
  <c r="S70" i="1" s="1"/>
  <c r="U134" i="1"/>
  <c r="H322" i="1"/>
  <c r="H70" i="1" s="1"/>
  <c r="H384" i="1"/>
  <c r="I385" i="1"/>
  <c r="I323" i="1"/>
  <c r="I71" i="1" s="1"/>
  <c r="S134" i="1" l="1"/>
  <c r="J134" i="1"/>
  <c r="I135" i="1"/>
  <c r="U197" i="1"/>
  <c r="U260" i="1"/>
  <c r="H26" i="1"/>
  <c r="H25" i="1" s="1"/>
  <c r="H23" i="1"/>
  <c r="H24" i="1" s="1"/>
  <c r="T260" i="1"/>
  <c r="T197" i="1"/>
  <c r="R134" i="1"/>
  <c r="K135" i="1"/>
  <c r="R197" i="1" l="1"/>
  <c r="R260" i="1"/>
  <c r="K198" i="1"/>
  <c r="K261" i="1"/>
  <c r="T385" i="1"/>
  <c r="T323" i="1"/>
  <c r="T71" i="1" s="1"/>
  <c r="I198" i="1"/>
  <c r="I261" i="1"/>
  <c r="S260" i="1"/>
  <c r="S197" i="1"/>
  <c r="U323" i="1"/>
  <c r="U71" i="1" s="1"/>
  <c r="U385" i="1"/>
  <c r="J197" i="1"/>
  <c r="J260" i="1"/>
  <c r="J323" i="1" l="1"/>
  <c r="J71" i="1" s="1"/>
  <c r="J385" i="1"/>
  <c r="T135" i="1"/>
  <c r="U135" i="1"/>
  <c r="S385" i="1"/>
  <c r="S323" i="1"/>
  <c r="S71" i="1" s="1"/>
  <c r="I386" i="1"/>
  <c r="I324" i="1"/>
  <c r="I72" i="1" s="1"/>
  <c r="K324" i="1"/>
  <c r="K72" i="1" s="1"/>
  <c r="K386" i="1"/>
  <c r="R385" i="1"/>
  <c r="R323" i="1"/>
  <c r="R71" i="1" s="1"/>
  <c r="R135" i="1" l="1"/>
  <c r="K136" i="1"/>
  <c r="S135" i="1"/>
  <c r="T198" i="1"/>
  <c r="T261" i="1"/>
  <c r="I136" i="1"/>
  <c r="U261" i="1"/>
  <c r="U198" i="1"/>
  <c r="J135" i="1"/>
  <c r="I262" i="1" l="1"/>
  <c r="I199" i="1"/>
  <c r="K262" i="1"/>
  <c r="K199" i="1"/>
  <c r="J261" i="1"/>
  <c r="J198" i="1"/>
  <c r="U386" i="1"/>
  <c r="U324" i="1"/>
  <c r="U72" i="1" s="1"/>
  <c r="T324" i="1"/>
  <c r="T72" i="1" s="1"/>
  <c r="T386" i="1"/>
  <c r="S261" i="1"/>
  <c r="S198" i="1"/>
  <c r="R198" i="1"/>
  <c r="R261" i="1"/>
  <c r="S386" i="1" l="1"/>
  <c r="S324" i="1"/>
  <c r="S72" i="1" s="1"/>
  <c r="T136" i="1"/>
  <c r="J324" i="1"/>
  <c r="J72" i="1" s="1"/>
  <c r="J386" i="1"/>
  <c r="R324" i="1"/>
  <c r="R72" i="1" s="1"/>
  <c r="R386" i="1"/>
  <c r="U136" i="1"/>
  <c r="K387" i="1"/>
  <c r="K325" i="1"/>
  <c r="K73" i="1" s="1"/>
  <c r="I325" i="1"/>
  <c r="I73" i="1" s="1"/>
  <c r="I387" i="1"/>
  <c r="K137" i="1" l="1"/>
  <c r="I23" i="1"/>
  <c r="I24" i="1" s="1"/>
  <c r="I26" i="1"/>
  <c r="I25" i="1" s="1"/>
  <c r="U199" i="1"/>
  <c r="U262" i="1"/>
  <c r="S136" i="1"/>
  <c r="R136" i="1"/>
  <c r="J136" i="1"/>
  <c r="T262" i="1"/>
  <c r="T199" i="1"/>
  <c r="S199" i="1" l="1"/>
  <c r="S262" i="1"/>
  <c r="T387" i="1"/>
  <c r="T325" i="1"/>
  <c r="T73" i="1" s="1"/>
  <c r="J199" i="1"/>
  <c r="J262" i="1"/>
  <c r="K200" i="1"/>
  <c r="K263" i="1"/>
  <c r="R262" i="1"/>
  <c r="R199" i="1"/>
  <c r="U387" i="1"/>
  <c r="U325" i="1"/>
  <c r="U73" i="1" s="1"/>
  <c r="R387" i="1" l="1"/>
  <c r="R325" i="1"/>
  <c r="R73" i="1" s="1"/>
  <c r="U137" i="1"/>
  <c r="J387" i="1"/>
  <c r="J325" i="1"/>
  <c r="J73" i="1" s="1"/>
  <c r="T137" i="1"/>
  <c r="K388" i="1"/>
  <c r="K326" i="1"/>
  <c r="K74" i="1" s="1"/>
  <c r="S387" i="1"/>
  <c r="S325" i="1"/>
  <c r="S73" i="1" s="1"/>
  <c r="K138" i="1" l="1"/>
  <c r="S137" i="1"/>
  <c r="T200" i="1"/>
  <c r="T263" i="1"/>
  <c r="J137" i="1"/>
  <c r="U200" i="1"/>
  <c r="U263" i="1"/>
  <c r="R23" i="1"/>
  <c r="R24" i="1" s="1"/>
  <c r="R26" i="1"/>
  <c r="R25" i="1" s="1"/>
  <c r="U388" i="1" l="1"/>
  <c r="U326" i="1"/>
  <c r="U74" i="1" s="1"/>
  <c r="S200" i="1"/>
  <c r="S263" i="1"/>
  <c r="J263" i="1"/>
  <c r="J200" i="1"/>
  <c r="T326" i="1"/>
  <c r="T74" i="1" s="1"/>
  <c r="T388" i="1"/>
  <c r="K201" i="1"/>
  <c r="K264" i="1"/>
  <c r="T138" i="1" l="1"/>
  <c r="K389" i="1"/>
  <c r="K327" i="1"/>
  <c r="K75" i="1" s="1"/>
  <c r="J326" i="1"/>
  <c r="J74" i="1" s="1"/>
  <c r="J388" i="1"/>
  <c r="S388" i="1"/>
  <c r="S326" i="1"/>
  <c r="S74" i="1" s="1"/>
  <c r="U138" i="1"/>
  <c r="S138" i="1" l="1"/>
  <c r="U264" i="1"/>
  <c r="U201" i="1"/>
  <c r="J138" i="1"/>
  <c r="K139" i="1"/>
  <c r="T264" i="1"/>
  <c r="T201" i="1"/>
  <c r="T327" i="1" l="1"/>
  <c r="T75" i="1" s="1"/>
  <c r="T389" i="1"/>
  <c r="K265" i="1"/>
  <c r="K202" i="1"/>
  <c r="J201" i="1"/>
  <c r="J264" i="1"/>
  <c r="U327" i="1"/>
  <c r="U75" i="1" s="1"/>
  <c r="U389" i="1"/>
  <c r="S264" i="1"/>
  <c r="S201" i="1"/>
  <c r="S389" i="1" l="1"/>
  <c r="S327" i="1"/>
  <c r="S75" i="1" s="1"/>
  <c r="U139" i="1"/>
  <c r="J327" i="1"/>
  <c r="J75" i="1" s="1"/>
  <c r="J389" i="1"/>
  <c r="K390" i="1"/>
  <c r="K328" i="1"/>
  <c r="K76" i="1" s="1"/>
  <c r="T139" i="1"/>
  <c r="J139" i="1" l="1"/>
  <c r="T265" i="1"/>
  <c r="T202" i="1"/>
  <c r="K140" i="1"/>
  <c r="U202" i="1"/>
  <c r="U265" i="1"/>
  <c r="S139" i="1"/>
  <c r="S202" i="1" l="1"/>
  <c r="S265" i="1"/>
  <c r="K266" i="1"/>
  <c r="K203" i="1"/>
  <c r="U390" i="1"/>
  <c r="U328" i="1"/>
  <c r="U76" i="1" s="1"/>
  <c r="T390" i="1"/>
  <c r="T328" i="1"/>
  <c r="T76" i="1" s="1"/>
  <c r="J202" i="1"/>
  <c r="J265" i="1"/>
  <c r="J328" i="1" l="1"/>
  <c r="J76" i="1" s="1"/>
  <c r="J390" i="1"/>
  <c r="T140" i="1"/>
  <c r="U140" i="1"/>
  <c r="K329" i="1"/>
  <c r="K77" i="1" s="1"/>
  <c r="K391" i="1"/>
  <c r="S328" i="1"/>
  <c r="S76" i="1" s="1"/>
  <c r="S390" i="1"/>
  <c r="K141" i="1" l="1"/>
  <c r="S140" i="1"/>
  <c r="U203" i="1"/>
  <c r="U266" i="1"/>
  <c r="T266" i="1"/>
  <c r="T203" i="1"/>
  <c r="J140" i="1"/>
  <c r="J203" i="1" l="1"/>
  <c r="J266" i="1"/>
  <c r="T391" i="1"/>
  <c r="T329" i="1"/>
  <c r="T77" i="1" s="1"/>
  <c r="U329" i="1"/>
  <c r="U77" i="1" s="1"/>
  <c r="U391" i="1"/>
  <c r="S203" i="1"/>
  <c r="S266" i="1"/>
  <c r="K267" i="1"/>
  <c r="K204" i="1"/>
  <c r="S329" i="1" l="1"/>
  <c r="S77" i="1" s="1"/>
  <c r="S391" i="1"/>
  <c r="K392" i="1"/>
  <c r="K330" i="1"/>
  <c r="K78" i="1" s="1"/>
  <c r="T141" i="1"/>
  <c r="U141" i="1"/>
  <c r="J391" i="1"/>
  <c r="J329" i="1"/>
  <c r="J77" i="1" s="1"/>
  <c r="J141" i="1" l="1"/>
  <c r="K142" i="1"/>
  <c r="U267" i="1"/>
  <c r="U204" i="1"/>
  <c r="T267" i="1"/>
  <c r="T204" i="1"/>
  <c r="S141" i="1"/>
  <c r="S267" i="1" l="1"/>
  <c r="S204" i="1"/>
  <c r="T392" i="1"/>
  <c r="T330" i="1"/>
  <c r="T78" i="1" s="1"/>
  <c r="J267" i="1"/>
  <c r="J204" i="1"/>
  <c r="U392" i="1"/>
  <c r="U330" i="1"/>
  <c r="U78" i="1" s="1"/>
  <c r="K268" i="1"/>
  <c r="K205" i="1"/>
  <c r="K393" i="1" l="1"/>
  <c r="K331" i="1"/>
  <c r="K79" i="1" s="1"/>
  <c r="T142" i="1"/>
  <c r="U142" i="1"/>
  <c r="J330" i="1"/>
  <c r="J78" i="1" s="1"/>
  <c r="J392" i="1"/>
  <c r="S392" i="1"/>
  <c r="S330" i="1"/>
  <c r="S78" i="1" s="1"/>
  <c r="S142" i="1" l="1"/>
  <c r="U205" i="1"/>
  <c r="U268" i="1"/>
  <c r="T268" i="1"/>
  <c r="T205" i="1"/>
  <c r="J142" i="1"/>
  <c r="K143" i="1"/>
  <c r="K206" i="1" l="1"/>
  <c r="K269" i="1"/>
  <c r="J268" i="1"/>
  <c r="J205" i="1"/>
  <c r="T393" i="1"/>
  <c r="T331" i="1"/>
  <c r="T79" i="1" s="1"/>
  <c r="U331" i="1"/>
  <c r="U79" i="1" s="1"/>
  <c r="U393" i="1"/>
  <c r="S268" i="1"/>
  <c r="S205" i="1"/>
  <c r="T143" i="1" l="1"/>
  <c r="S331" i="1"/>
  <c r="S79" i="1" s="1"/>
  <c r="S393" i="1"/>
  <c r="U143" i="1"/>
  <c r="J331" i="1"/>
  <c r="J79" i="1" s="1"/>
  <c r="J393" i="1"/>
  <c r="K394" i="1"/>
  <c r="K332" i="1"/>
  <c r="K80" i="1" s="1"/>
  <c r="K144" i="1" l="1"/>
  <c r="J26" i="1"/>
  <c r="J25" i="1" s="1"/>
  <c r="J23" i="1"/>
  <c r="J24" i="1" s="1"/>
  <c r="U269" i="1"/>
  <c r="U206" i="1"/>
  <c r="S26" i="1"/>
  <c r="S25" i="1" s="1"/>
  <c r="S23" i="1"/>
  <c r="S24" i="1" s="1"/>
  <c r="T206" i="1"/>
  <c r="T269" i="1"/>
  <c r="T332" i="1" l="1"/>
  <c r="T80" i="1" s="1"/>
  <c r="T394" i="1"/>
  <c r="U332" i="1"/>
  <c r="U80" i="1" s="1"/>
  <c r="U394" i="1"/>
  <c r="K270" i="1"/>
  <c r="K207" i="1"/>
  <c r="U144" i="1" l="1"/>
  <c r="K395" i="1"/>
  <c r="K333" i="1"/>
  <c r="K81" i="1" s="1"/>
  <c r="T144" i="1"/>
  <c r="T270" i="1" l="1"/>
  <c r="T207" i="1"/>
  <c r="K145" i="1"/>
  <c r="U207" i="1"/>
  <c r="U270" i="1"/>
  <c r="U395" i="1" l="1"/>
  <c r="U333" i="1"/>
  <c r="U81" i="1" s="1"/>
  <c r="K271" i="1"/>
  <c r="K208" i="1"/>
  <c r="T333" i="1"/>
  <c r="T81" i="1" s="1"/>
  <c r="T395" i="1"/>
  <c r="T145" i="1" l="1"/>
  <c r="U145" i="1"/>
  <c r="K396" i="1"/>
  <c r="K334" i="1"/>
  <c r="K82" i="1" s="1"/>
  <c r="K146" i="1" l="1"/>
  <c r="U271" i="1"/>
  <c r="U208" i="1"/>
  <c r="T271" i="1"/>
  <c r="T208" i="1"/>
  <c r="T334" i="1" l="1"/>
  <c r="T82" i="1" s="1"/>
  <c r="T396" i="1"/>
  <c r="U334" i="1"/>
  <c r="U82" i="1" s="1"/>
  <c r="U396" i="1"/>
  <c r="K209" i="1"/>
  <c r="K272" i="1"/>
  <c r="U146" i="1" l="1"/>
  <c r="K335" i="1"/>
  <c r="K83" i="1" s="1"/>
  <c r="K397" i="1"/>
  <c r="T146" i="1"/>
  <c r="T209" i="1" l="1"/>
  <c r="T272" i="1"/>
  <c r="K147" i="1"/>
  <c r="U272" i="1"/>
  <c r="U209" i="1"/>
  <c r="U335" i="1" l="1"/>
  <c r="U83" i="1" s="1"/>
  <c r="U397" i="1"/>
  <c r="K210" i="1"/>
  <c r="K273" i="1"/>
  <c r="T397" i="1"/>
  <c r="T335" i="1"/>
  <c r="T83" i="1" s="1"/>
  <c r="T147" i="1" l="1"/>
  <c r="K398" i="1"/>
  <c r="K336" i="1"/>
  <c r="K84" i="1" s="1"/>
  <c r="U147" i="1"/>
  <c r="U210" i="1" l="1"/>
  <c r="U273" i="1"/>
  <c r="T273" i="1"/>
  <c r="T210" i="1"/>
  <c r="K148" i="1"/>
  <c r="K274" i="1" l="1"/>
  <c r="K211" i="1"/>
  <c r="T398" i="1"/>
  <c r="T336" i="1"/>
  <c r="T84" i="1" s="1"/>
  <c r="U336" i="1"/>
  <c r="U84" i="1" s="1"/>
  <c r="U398" i="1"/>
  <c r="U148" i="1" l="1"/>
  <c r="T148" i="1"/>
  <c r="K337" i="1"/>
  <c r="K85" i="1" s="1"/>
  <c r="K399" i="1"/>
  <c r="K149" i="1" l="1"/>
  <c r="T274" i="1"/>
  <c r="T211" i="1"/>
  <c r="U274" i="1"/>
  <c r="U211" i="1"/>
  <c r="T399" i="1" l="1"/>
  <c r="T337" i="1"/>
  <c r="T85" i="1" s="1"/>
  <c r="U399" i="1"/>
  <c r="U337" i="1"/>
  <c r="U85" i="1" s="1"/>
  <c r="K275" i="1"/>
  <c r="K212" i="1"/>
  <c r="K338" i="1" l="1"/>
  <c r="K86" i="1" s="1"/>
  <c r="K400" i="1"/>
  <c r="U149" i="1"/>
  <c r="T149" i="1"/>
  <c r="T212" i="1" l="1"/>
  <c r="T275" i="1"/>
  <c r="U275" i="1"/>
  <c r="U212" i="1"/>
  <c r="K150" i="1"/>
  <c r="K213" i="1" l="1"/>
  <c r="K276" i="1"/>
  <c r="U400" i="1"/>
  <c r="U338" i="1"/>
  <c r="U86" i="1" s="1"/>
  <c r="T338" i="1"/>
  <c r="T86" i="1" s="1"/>
  <c r="T400" i="1"/>
  <c r="T150" i="1" l="1"/>
  <c r="U150" i="1"/>
  <c r="K401" i="1"/>
  <c r="K339" i="1"/>
  <c r="K87" i="1" s="1"/>
  <c r="K151" i="1" l="1"/>
  <c r="U213" i="1"/>
  <c r="U276" i="1"/>
  <c r="T276" i="1"/>
  <c r="T213" i="1"/>
  <c r="U401" i="1" l="1"/>
  <c r="U339" i="1"/>
  <c r="U87" i="1" s="1"/>
  <c r="T339" i="1"/>
  <c r="T87" i="1" s="1"/>
  <c r="T401" i="1"/>
  <c r="K277" i="1"/>
  <c r="K214" i="1"/>
  <c r="T151" i="1" l="1"/>
  <c r="K340" i="1"/>
  <c r="K88" i="1" s="1"/>
  <c r="K402" i="1"/>
  <c r="U151" i="1"/>
  <c r="K152" i="1" l="1"/>
  <c r="U277" i="1"/>
  <c r="U214" i="1"/>
  <c r="T277" i="1"/>
  <c r="T214" i="1"/>
  <c r="T340" i="1" l="1"/>
  <c r="T88" i="1" s="1"/>
  <c r="T402" i="1"/>
  <c r="U402" i="1"/>
  <c r="U340" i="1"/>
  <c r="U88" i="1" s="1"/>
  <c r="K215" i="1"/>
  <c r="K278" i="1"/>
  <c r="K403" i="1" l="1"/>
  <c r="K341" i="1"/>
  <c r="K89" i="1" s="1"/>
  <c r="U152" i="1"/>
  <c r="T152" i="1"/>
  <c r="T215" i="1" l="1"/>
  <c r="T278" i="1"/>
  <c r="U278" i="1"/>
  <c r="U215" i="1"/>
  <c r="K153" i="1"/>
  <c r="K279" i="1" l="1"/>
  <c r="K216" i="1"/>
  <c r="U341" i="1"/>
  <c r="U89" i="1" s="1"/>
  <c r="U403" i="1"/>
  <c r="T341" i="1"/>
  <c r="T89" i="1" s="1"/>
  <c r="T403" i="1"/>
  <c r="K342" i="1" l="1"/>
  <c r="K90" i="1" s="1"/>
  <c r="K404" i="1"/>
  <c r="T153" i="1"/>
  <c r="U153" i="1"/>
  <c r="T216" i="1" l="1"/>
  <c r="T279" i="1"/>
  <c r="U279" i="1"/>
  <c r="U216" i="1"/>
  <c r="K154" i="1"/>
  <c r="U342" i="1" l="1"/>
  <c r="U90" i="1" s="1"/>
  <c r="U404" i="1"/>
  <c r="K280" i="1"/>
  <c r="K217" i="1"/>
  <c r="T342" i="1"/>
  <c r="T90" i="1" s="1"/>
  <c r="T404" i="1"/>
  <c r="K405" i="1" l="1"/>
  <c r="K343" i="1"/>
  <c r="K91" i="1" s="1"/>
  <c r="T154" i="1"/>
  <c r="U154" i="1"/>
  <c r="T280" i="1" l="1"/>
  <c r="T217" i="1"/>
  <c r="U217" i="1"/>
  <c r="U280" i="1"/>
  <c r="K23" i="1"/>
  <c r="K24" i="1" s="1"/>
  <c r="K26" i="1"/>
  <c r="K25" i="1" s="1"/>
  <c r="U405" i="1" l="1"/>
  <c r="U343" i="1"/>
  <c r="U91" i="1" s="1"/>
  <c r="T343" i="1"/>
  <c r="T91" i="1" s="1"/>
  <c r="T405" i="1"/>
  <c r="T23" i="1" l="1"/>
  <c r="T24" i="1" s="1"/>
  <c r="T26" i="1"/>
  <c r="T25" i="1" s="1"/>
  <c r="U23" i="1"/>
  <c r="U24" i="1" s="1"/>
  <c r="U26" i="1"/>
  <c r="U25" i="1" s="1"/>
</calcChain>
</file>

<file path=xl/sharedStrings.xml><?xml version="1.0" encoding="utf-8"?>
<sst xmlns="http://schemas.openxmlformats.org/spreadsheetml/2006/main" count="158" uniqueCount="40">
  <si>
    <t>Net katkı payı</t>
  </si>
  <si>
    <t>KKDF</t>
  </si>
  <si>
    <t>BSMV</t>
  </si>
  <si>
    <t>KKDF (Katkı)</t>
  </si>
  <si>
    <t>BSMV (Katkı)</t>
  </si>
  <si>
    <t>Kredi Tutarı</t>
  </si>
  <si>
    <t>Vade</t>
  </si>
  <si>
    <t>Rem. Principal</t>
  </si>
  <si>
    <t>Interest</t>
  </si>
  <si>
    <t>Principal</t>
  </si>
  <si>
    <t>Taksit</t>
  </si>
  <si>
    <t>Cashflow</t>
  </si>
  <si>
    <t>Toplam Katkı Payı</t>
  </si>
  <si>
    <t>Date</t>
  </si>
  <si>
    <t>#</t>
  </si>
  <si>
    <t>KKDF (Kredi)</t>
  </si>
  <si>
    <t>BSMV (Kredi)</t>
  </si>
  <si>
    <t>KKDF (Bayi)</t>
  </si>
  <si>
    <t>BSMV (Bayi)</t>
  </si>
  <si>
    <t>Bayi Katkı Oranı</t>
  </si>
  <si>
    <t>XIRR Monthly</t>
  </si>
  <si>
    <t>IRR Monthly</t>
  </si>
  <si>
    <t>month</t>
  </si>
  <si>
    <t>date</t>
  </si>
  <si>
    <t>Erteleme (Ay)</t>
  </si>
  <si>
    <t>IRR Yield Annual</t>
  </si>
  <si>
    <t>XIRR Yield Annual</t>
  </si>
  <si>
    <t>Müşteri Kar Oranı</t>
  </si>
  <si>
    <t>Ortalama Vade</t>
  </si>
  <si>
    <t>Table Calculations</t>
  </si>
  <si>
    <t>Net Kar</t>
  </si>
  <si>
    <t>FTP</t>
  </si>
  <si>
    <t>Oran</t>
  </si>
  <si>
    <t>Katkı Payı</t>
  </si>
  <si>
    <t>Prim Oranları</t>
  </si>
  <si>
    <t>Primler için Bayi Katkı Payları</t>
  </si>
  <si>
    <t>Primler için Kar Oranları</t>
  </si>
  <si>
    <t>Prim Hesaplama Tutar</t>
  </si>
  <si>
    <t>1:Bayi Katkı, 2:Kar Oranı, 3:Prim</t>
  </si>
  <si>
    <t>Hedef FTP (Primde senelik)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</si>
</sst>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#.00"/>
    <numFmt numFmtId="165" formatCode="0.00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0" fontId="0" fillId="0" borderId="0" xfId="1" applyNumberFormat="1" applyFont="1"/>
    <xf numFmtId="165" fontId="0" fillId="0" borderId="0" xfId="1" applyNumberFormat="1" applyFont="1"/>
    <xf numFmtId="165" fontId="0" fillId="0" borderId="0" xfId="0" applyNumberFormat="1"/>
    <xf numFmtId="164" fontId="0" fillId="2" borderId="0" xfId="0" applyNumberFormat="1" applyFill="1"/>
    <xf numFmtId="0" fontId="0" fillId="2" borderId="0" xfId="0" applyFill="1"/>
    <xf numFmtId="165" fontId="0" fillId="2" borderId="0" xfId="0" applyNumberFormat="1" applyFill="1"/>
    <xf numFmtId="9" fontId="0" fillId="2" borderId="0" xfId="0" applyNumberFormat="1" applyFill="1"/>
    <xf numFmtId="0" fontId="2" fillId="0" borderId="0" xfId="0" applyFont="1"/>
    <xf numFmtId="10" fontId="0" fillId="0" borderId="0" xfId="0" applyNumberFormat="1"/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7"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0</xdr:row>
          <xdr:rowOff>99060</xdr:rowOff>
        </xdr:from>
        <xdr:to>
          <xdr:col>0</xdr:col>
          <xdr:colOff>792480</xdr:colOff>
          <xdr:row>2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EE3D4-202D-45AA-B679-8744ACF96A41}">
  <sheetPr codeName="Sheet1"/>
  <dimension ref="A1:U430"/>
  <sheetViews>
    <sheetView tabSelected="1" zoomScale="85" zoomScaleNormal="85" workbookViewId="0">
      <pane xSplit="2" topLeftCell="I1" activePane="topRight" state="frozen"/>
      <selection pane="topRight" activeCell="B11" sqref="B11"/>
    </sheetView>
  </sheetViews>
  <sheetFormatPr defaultRowHeight="14.4" x14ac:dyDescent="0.3"/>
  <cols>
    <col min="1" max="1" width="14" customWidth="1"/>
    <col min="2" max="2" width="29.6640625" customWidth="1"/>
    <col min="3" max="21" width="12.77734375" customWidth="1"/>
  </cols>
  <sheetData>
    <row r="1" spans="2:21" x14ac:dyDescent="0.3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  <c r="P1" s="12"/>
      <c r="Q1" s="12"/>
      <c r="R1" s="12"/>
      <c r="S1" s="12"/>
      <c r="T1" s="12"/>
      <c r="U1" s="12"/>
    </row>
    <row r="2" spans="2:21" x14ac:dyDescent="0.3">
      <c r="B2" t="s">
        <v>5</v>
      </c>
      <c r="C2" s="8">
        <v>10000</v>
      </c>
      <c r="D2" s="8">
        <v>10000</v>
      </c>
      <c r="E2" s="8">
        <v>10000</v>
      </c>
      <c r="F2" s="8">
        <v>10000</v>
      </c>
      <c r="G2" s="8">
        <v>10000</v>
      </c>
      <c r="H2" s="8">
        <v>10000</v>
      </c>
      <c r="I2" s="8">
        <v>10000</v>
      </c>
      <c r="J2" s="8">
        <v>10000</v>
      </c>
      <c r="K2" s="8">
        <v>10000</v>
      </c>
      <c r="L2" s="8">
        <v>10000</v>
      </c>
      <c r="M2" s="8">
        <v>10000</v>
      </c>
      <c r="N2" s="8">
        <v>10000</v>
      </c>
      <c r="O2" s="8">
        <v>10000</v>
      </c>
      <c r="P2" s="8">
        <v>10000</v>
      </c>
      <c r="Q2" s="8">
        <v>10000</v>
      </c>
      <c r="R2" s="8">
        <v>10000</v>
      </c>
      <c r="S2" s="8">
        <v>10000</v>
      </c>
      <c r="T2" s="8">
        <v>10000</v>
      </c>
      <c r="U2" s="8">
        <v>10000</v>
      </c>
    </row>
    <row r="3" spans="2:21" x14ac:dyDescent="0.3">
      <c r="B3" t="s">
        <v>6</v>
      </c>
      <c r="C3" s="9">
        <v>3</v>
      </c>
      <c r="D3" s="9">
        <v>6</v>
      </c>
      <c r="E3" s="9">
        <v>9</v>
      </c>
      <c r="F3" s="9">
        <v>10</v>
      </c>
      <c r="G3" s="9">
        <v>12</v>
      </c>
      <c r="H3" s="9">
        <v>15</v>
      </c>
      <c r="I3" s="9">
        <v>18</v>
      </c>
      <c r="J3" s="9">
        <v>24</v>
      </c>
      <c r="K3" s="9">
        <v>36</v>
      </c>
      <c r="L3" s="9">
        <v>3</v>
      </c>
      <c r="M3" s="9">
        <v>6</v>
      </c>
      <c r="N3" s="9">
        <v>9</v>
      </c>
      <c r="O3" s="9">
        <v>10</v>
      </c>
      <c r="P3" s="9">
        <v>12</v>
      </c>
      <c r="Q3" s="9">
        <v>15</v>
      </c>
      <c r="R3" s="9">
        <v>18</v>
      </c>
      <c r="S3" s="9">
        <v>24</v>
      </c>
      <c r="T3" s="9">
        <v>36</v>
      </c>
      <c r="U3" s="9">
        <v>15</v>
      </c>
    </row>
    <row r="4" spans="2:21" x14ac:dyDescent="0.3">
      <c r="B4" t="s">
        <v>24</v>
      </c>
      <c r="C4" s="9">
        <v>0</v>
      </c>
      <c r="D4" s="9">
        <v>0</v>
      </c>
      <c r="E4" s="9">
        <v>0</v>
      </c>
      <c r="F4" s="9">
        <v>0</v>
      </c>
      <c r="G4" s="9">
        <v>0</v>
      </c>
      <c r="H4" s="9">
        <v>0</v>
      </c>
      <c r="I4" s="9">
        <v>0</v>
      </c>
      <c r="J4" s="9">
        <v>0</v>
      </c>
      <c r="K4" s="9">
        <v>0</v>
      </c>
      <c r="L4" s="9">
        <v>0</v>
      </c>
      <c r="M4" s="9">
        <v>0</v>
      </c>
      <c r="N4" s="9">
        <v>0</v>
      </c>
      <c r="O4" s="9">
        <v>0</v>
      </c>
      <c r="P4" s="9">
        <v>0</v>
      </c>
      <c r="Q4" s="9">
        <v>0</v>
      </c>
      <c r="R4" s="9">
        <v>0</v>
      </c>
      <c r="S4" s="9">
        <v>0</v>
      </c>
      <c r="T4" s="9">
        <v>0</v>
      </c>
      <c r="U4" s="9">
        <v>0</v>
      </c>
    </row>
    <row r="5" spans="2:21" x14ac:dyDescent="0.3">
      <c r="B5" t="s">
        <v>27</v>
      </c>
      <c r="C5" s="5">
        <v>0.01</v>
      </c>
      <c r="D5" s="5">
        <v>0.01</v>
      </c>
      <c r="E5" s="5">
        <v>0.01</v>
      </c>
      <c r="F5" s="5">
        <v>0.01</v>
      </c>
      <c r="G5" s="5">
        <v>0.01</v>
      </c>
      <c r="H5" s="5">
        <v>0.01</v>
      </c>
      <c r="I5" s="5">
        <v>0.01</v>
      </c>
      <c r="J5" s="5">
        <v>0.01</v>
      </c>
      <c r="K5" s="5">
        <v>0.01</v>
      </c>
      <c r="L5" s="5">
        <v>0.01</v>
      </c>
      <c r="M5" s="5">
        <v>1.3183333333333332E-2</v>
      </c>
      <c r="N5" s="5">
        <v>1.4405703504043127E-2</v>
      </c>
      <c r="O5" s="5">
        <v>1.4656390977443607E-2</v>
      </c>
      <c r="P5" s="5">
        <v>1.5032584269662919E-2</v>
      </c>
      <c r="Q5" s="5">
        <v>1.5391044776119401E-2</v>
      </c>
      <c r="R5" s="5">
        <v>1.5620446096654274E-2</v>
      </c>
      <c r="S5" s="5">
        <v>1.5860167229331867E-2</v>
      </c>
      <c r="T5" s="5">
        <v>1.600181818181818E-2</v>
      </c>
      <c r="U5" s="5">
        <v>0.02</v>
      </c>
    </row>
    <row r="6" spans="2:21" x14ac:dyDescent="0.3">
      <c r="B6" t="s">
        <v>15</v>
      </c>
      <c r="C6" s="11">
        <v>0.15</v>
      </c>
      <c r="D6" s="11">
        <v>0.15</v>
      </c>
      <c r="E6" s="11">
        <v>0.15</v>
      </c>
      <c r="F6" s="11">
        <v>0.15</v>
      </c>
      <c r="G6" s="11">
        <v>0.15</v>
      </c>
      <c r="H6" s="11">
        <v>0.15</v>
      </c>
      <c r="I6" s="11">
        <v>0.15</v>
      </c>
      <c r="J6" s="11">
        <v>0.15</v>
      </c>
      <c r="K6" s="11">
        <v>0.15</v>
      </c>
      <c r="L6" s="11">
        <v>0.15</v>
      </c>
      <c r="M6" s="11">
        <v>0.15</v>
      </c>
      <c r="N6" s="11">
        <v>0.15</v>
      </c>
      <c r="O6" s="11">
        <v>0.15</v>
      </c>
      <c r="P6" s="11">
        <v>0.15</v>
      </c>
      <c r="Q6" s="11">
        <v>0.15</v>
      </c>
      <c r="R6" s="11">
        <v>0.15</v>
      </c>
      <c r="S6" s="11">
        <v>0.15</v>
      </c>
      <c r="T6" s="11">
        <v>0.15</v>
      </c>
      <c r="U6" s="11">
        <v>0.15</v>
      </c>
    </row>
    <row r="7" spans="2:21" x14ac:dyDescent="0.3">
      <c r="B7" t="s">
        <v>16</v>
      </c>
      <c r="C7" s="11">
        <v>0.15</v>
      </c>
      <c r="D7" s="11">
        <v>0.15</v>
      </c>
      <c r="E7" s="11">
        <v>0.15</v>
      </c>
      <c r="F7" s="11">
        <v>0.15</v>
      </c>
      <c r="G7" s="11">
        <v>0.15</v>
      </c>
      <c r="H7" s="11">
        <v>0.15</v>
      </c>
      <c r="I7" s="11">
        <v>0.15</v>
      </c>
      <c r="J7" s="11">
        <v>0.15</v>
      </c>
      <c r="K7" s="11">
        <v>0.15</v>
      </c>
      <c r="L7" s="11">
        <v>0.15</v>
      </c>
      <c r="M7" s="11">
        <v>0.15</v>
      </c>
      <c r="N7" s="11">
        <v>0.15</v>
      </c>
      <c r="O7" s="11">
        <v>0.15</v>
      </c>
      <c r="P7" s="11">
        <v>0.15</v>
      </c>
      <c r="Q7" s="11">
        <v>0.15</v>
      </c>
      <c r="R7" s="11">
        <v>0.15</v>
      </c>
      <c r="S7" s="11">
        <v>0.15</v>
      </c>
      <c r="T7" s="11">
        <v>0.15</v>
      </c>
      <c r="U7" s="11">
        <v>0.15</v>
      </c>
    </row>
    <row r="8" spans="2:21" x14ac:dyDescent="0.3">
      <c r="B8" t="s">
        <v>17</v>
      </c>
      <c r="C8" s="11">
        <v>0.15</v>
      </c>
      <c r="D8" s="11">
        <v>0.15</v>
      </c>
      <c r="E8" s="11">
        <v>0.15</v>
      </c>
      <c r="F8" s="11">
        <v>0.15</v>
      </c>
      <c r="G8" s="11">
        <v>0.15</v>
      </c>
      <c r="H8" s="11">
        <v>0.15</v>
      </c>
      <c r="I8" s="11">
        <v>0.15</v>
      </c>
      <c r="J8" s="11">
        <v>0.15</v>
      </c>
      <c r="K8" s="11">
        <v>0.15</v>
      </c>
      <c r="L8" s="11">
        <v>0.15</v>
      </c>
      <c r="M8" s="11">
        <v>0.15</v>
      </c>
      <c r="N8" s="11">
        <v>0.15</v>
      </c>
      <c r="O8" s="11">
        <v>0.15</v>
      </c>
      <c r="P8" s="11">
        <v>0.15</v>
      </c>
      <c r="Q8" s="11">
        <v>0.15</v>
      </c>
      <c r="R8" s="11">
        <v>0.15</v>
      </c>
      <c r="S8" s="11">
        <v>0.15</v>
      </c>
      <c r="T8" s="11">
        <v>0.15</v>
      </c>
      <c r="U8" s="11">
        <v>0.15</v>
      </c>
    </row>
    <row r="9" spans="2:21" x14ac:dyDescent="0.3">
      <c r="B9" t="s">
        <v>18</v>
      </c>
      <c r="C9" s="11">
        <v>0.15</v>
      </c>
      <c r="D9" s="11">
        <v>0.15</v>
      </c>
      <c r="E9" s="11">
        <v>0.15</v>
      </c>
      <c r="F9" s="11">
        <v>0.15</v>
      </c>
      <c r="G9" s="11">
        <v>0.15</v>
      </c>
      <c r="H9" s="11">
        <v>0.15</v>
      </c>
      <c r="I9" s="11">
        <v>0.15</v>
      </c>
      <c r="J9" s="11">
        <v>0.15</v>
      </c>
      <c r="K9" s="11">
        <v>0.15</v>
      </c>
      <c r="L9" s="11">
        <v>0.15</v>
      </c>
      <c r="M9" s="11">
        <v>0.15</v>
      </c>
      <c r="N9" s="11">
        <v>0.15</v>
      </c>
      <c r="O9" s="11">
        <v>0.15</v>
      </c>
      <c r="P9" s="11">
        <v>0.15</v>
      </c>
      <c r="Q9" s="11">
        <v>0.15</v>
      </c>
      <c r="R9" s="11">
        <v>0.15</v>
      </c>
      <c r="S9" s="11">
        <v>0.15</v>
      </c>
      <c r="T9" s="11">
        <v>0.15</v>
      </c>
      <c r="U9" s="11">
        <v>0.15</v>
      </c>
    </row>
    <row r="10" spans="2:21" x14ac:dyDescent="0.3">
      <c r="B10" t="s">
        <v>39</v>
      </c>
      <c r="C10" s="10">
        <v>0.02</v>
      </c>
      <c r="D10" s="10">
        <v>0.02</v>
      </c>
      <c r="E10" s="10">
        <v>0.02</v>
      </c>
      <c r="F10" s="10">
        <v>0.02</v>
      </c>
      <c r="G10" s="10">
        <v>0.02</v>
      </c>
      <c r="H10" s="10">
        <v>0.02</v>
      </c>
      <c r="I10" s="10">
        <v>0.02</v>
      </c>
      <c r="J10" s="10">
        <v>0.02</v>
      </c>
      <c r="K10" s="10">
        <v>0.02</v>
      </c>
      <c r="L10" s="10">
        <v>0.02</v>
      </c>
      <c r="M10" s="10">
        <v>0.02</v>
      </c>
      <c r="N10" s="10">
        <v>0.02</v>
      </c>
      <c r="O10" s="10">
        <v>0.02</v>
      </c>
      <c r="P10" s="10">
        <v>0.02</v>
      </c>
      <c r="Q10" s="10">
        <v>0.02</v>
      </c>
      <c r="R10" s="10">
        <v>0.02</v>
      </c>
      <c r="S10" s="10">
        <v>0.02</v>
      </c>
      <c r="T10" s="10">
        <v>0.02</v>
      </c>
      <c r="U10" s="10">
        <v>0.38500000000000001</v>
      </c>
    </row>
    <row r="11" spans="2:21" x14ac:dyDescent="0.3">
      <c r="B11" s="14" t="s">
        <v>38</v>
      </c>
      <c r="C11" s="9">
        <v>1</v>
      </c>
      <c r="D11" s="9">
        <v>1</v>
      </c>
      <c r="E11" s="9">
        <v>1</v>
      </c>
      <c r="F11" s="9">
        <v>1</v>
      </c>
      <c r="G11" s="9">
        <v>1</v>
      </c>
      <c r="H11" s="9">
        <v>1</v>
      </c>
      <c r="I11" s="9">
        <v>1</v>
      </c>
      <c r="J11" s="9">
        <v>1</v>
      </c>
      <c r="K11" s="9">
        <v>1</v>
      </c>
      <c r="L11" s="9">
        <v>2</v>
      </c>
      <c r="M11" s="9">
        <v>2</v>
      </c>
      <c r="N11" s="9">
        <v>2</v>
      </c>
      <c r="O11" s="9">
        <v>2</v>
      </c>
      <c r="P11" s="9">
        <v>2</v>
      </c>
      <c r="Q11" s="9">
        <v>2</v>
      </c>
      <c r="R11" s="9">
        <v>2</v>
      </c>
      <c r="S11" s="9">
        <v>2</v>
      </c>
      <c r="T11" s="9">
        <v>2</v>
      </c>
      <c r="U11" s="9">
        <v>3</v>
      </c>
    </row>
    <row r="12" spans="2:21" x14ac:dyDescent="0.3">
      <c r="B12" t="s">
        <v>28</v>
      </c>
      <c r="U12">
        <v>8</v>
      </c>
    </row>
    <row r="15" spans="2:21" x14ac:dyDescent="0.3">
      <c r="B15" t="s">
        <v>10</v>
      </c>
      <c r="C15" s="4">
        <f t="shared" ref="C15:J15" si="0">PMT(C5*(1+SUM(C6:C7)),C3,-C2)</f>
        <v>3420.3731250220035</v>
      </c>
      <c r="D15" s="4">
        <f t="shared" si="0"/>
        <v>1743.3161497197232</v>
      </c>
      <c r="E15" s="4">
        <f t="shared" si="0"/>
        <v>1184.5768344976202</v>
      </c>
      <c r="F15" s="4">
        <f t="shared" si="0"/>
        <v>1072.8848762922273</v>
      </c>
      <c r="G15" s="4">
        <f t="shared" si="0"/>
        <v>905.41677692285066</v>
      </c>
      <c r="H15" s="4">
        <f t="shared" si="0"/>
        <v>738.08824633842767</v>
      </c>
      <c r="I15" s="4">
        <f t="shared" si="0"/>
        <v>626.67529087365426</v>
      </c>
      <c r="J15" s="4">
        <f t="shared" si="0"/>
        <v>487.72202224172042</v>
      </c>
      <c r="K15" s="4">
        <f t="shared" ref="K15:S15" si="1">PMT(K5*(1+SUM(K6:K7)),K3,-K2)</f>
        <v>349.59871528327545</v>
      </c>
      <c r="L15" s="4">
        <f t="shared" si="1"/>
        <v>3420.3731250220035</v>
      </c>
      <c r="M15" s="4">
        <f t="shared" si="1"/>
        <v>1768.0557461137623</v>
      </c>
      <c r="N15" s="4">
        <f t="shared" si="1"/>
        <v>1217.7249631867628</v>
      </c>
      <c r="O15" s="4">
        <f t="shared" si="1"/>
        <v>1107.7582286511106</v>
      </c>
      <c r="P15" s="4">
        <f t="shared" si="1"/>
        <v>942.94032085746596</v>
      </c>
      <c r="Q15" s="4">
        <f t="shared" si="1"/>
        <v>778.30338762332417</v>
      </c>
      <c r="R15" s="4">
        <f t="shared" si="1"/>
        <v>668.82034434913555</v>
      </c>
      <c r="S15" s="4">
        <f t="shared" si="1"/>
        <v>532.42089981886613</v>
      </c>
      <c r="T15" s="4">
        <f t="shared" ref="T15:U15" si="2">PMT(T5*(1+SUM(T6:T7)),T3,-T2)</f>
        <v>397.40173157505222</v>
      </c>
      <c r="U15" s="4">
        <f t="shared" si="2"/>
        <v>813.61773827916966</v>
      </c>
    </row>
    <row r="16" spans="2:21" x14ac:dyDescent="0.3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</row>
    <row r="17" spans="2:21" x14ac:dyDescent="0.3">
      <c r="B17" t="s">
        <v>19</v>
      </c>
      <c r="C17" s="13">
        <v>2.1419999631395268E-2</v>
      </c>
      <c r="D17" s="13">
        <v>3.95565731886399E-2</v>
      </c>
      <c r="E17" s="13">
        <v>5.7035047075053052E-2</v>
      </c>
      <c r="F17" s="13">
        <v>6.2668561712269644E-2</v>
      </c>
      <c r="G17" s="13">
        <v>7.3805832751589376E-2</v>
      </c>
      <c r="H17" s="13">
        <v>9.0001326753551616E-2</v>
      </c>
      <c r="I17" s="13">
        <v>0.1055272743130727</v>
      </c>
      <c r="J17" s="13">
        <v>0.13495211968325585</v>
      </c>
      <c r="K17" s="13">
        <v>0.18752964494827939</v>
      </c>
      <c r="L17" s="13">
        <v>2.1419999631395268E-2</v>
      </c>
      <c r="M17" s="13">
        <v>2.1419999631395268E-2</v>
      </c>
      <c r="N17" s="13">
        <v>2.1419999631395268E-2</v>
      </c>
      <c r="O17" s="13">
        <v>2.1419999631395268E-2</v>
      </c>
      <c r="P17" s="13">
        <v>2.1419999631395268E-2</v>
      </c>
      <c r="Q17" s="13">
        <v>2.1419999631395268E-2</v>
      </c>
      <c r="R17" s="13">
        <v>2.1419999631395268E-2</v>
      </c>
      <c r="S17" s="13">
        <v>2.1419999631395268E-2</v>
      </c>
      <c r="T17" s="13">
        <v>2.1419999631395268E-2</v>
      </c>
      <c r="U17" s="13">
        <v>0</v>
      </c>
    </row>
    <row r="18" spans="2:21" x14ac:dyDescent="0.3">
      <c r="B18" t="s">
        <v>0</v>
      </c>
      <c r="C18" s="2">
        <f t="shared" ref="C18:U18" si="3">C21/(1+SUM(C8:C9))</f>
        <v>164.76922793380976</v>
      </c>
      <c r="D18" s="2">
        <f t="shared" si="3"/>
        <v>304.28133222030692</v>
      </c>
      <c r="E18" s="2">
        <f t="shared" si="3"/>
        <v>438.73113134656199</v>
      </c>
      <c r="F18" s="2">
        <f t="shared" si="3"/>
        <v>482.06585932515105</v>
      </c>
      <c r="G18" s="2">
        <f t="shared" si="3"/>
        <v>567.73717501222598</v>
      </c>
      <c r="H18" s="2">
        <f t="shared" si="3"/>
        <v>692.31789810424323</v>
      </c>
      <c r="I18" s="2">
        <f t="shared" si="3"/>
        <v>811.748263946713</v>
      </c>
      <c r="J18" s="2">
        <f t="shared" si="3"/>
        <v>1038.0932283327372</v>
      </c>
      <c r="K18" s="2">
        <f t="shared" si="3"/>
        <v>1442.5357303713799</v>
      </c>
      <c r="L18" s="2">
        <f t="shared" si="3"/>
        <v>164.76922793380976</v>
      </c>
      <c r="M18" s="2">
        <f t="shared" si="3"/>
        <v>164.76922793380976</v>
      </c>
      <c r="N18" s="2">
        <f t="shared" si="3"/>
        <v>164.76922793380976</v>
      </c>
      <c r="O18" s="2">
        <f t="shared" si="3"/>
        <v>164.76922793380976</v>
      </c>
      <c r="P18" s="2">
        <f t="shared" si="3"/>
        <v>164.76922793380976</v>
      </c>
      <c r="Q18" s="2">
        <f t="shared" si="3"/>
        <v>164.76922793380976</v>
      </c>
      <c r="R18" s="2">
        <f t="shared" si="3"/>
        <v>164.76922793380976</v>
      </c>
      <c r="S18" s="2">
        <f t="shared" si="3"/>
        <v>164.76922793380976</v>
      </c>
      <c r="T18" s="2">
        <f t="shared" si="3"/>
        <v>164.76922793380976</v>
      </c>
      <c r="U18" s="2">
        <f t="shared" si="3"/>
        <v>0</v>
      </c>
    </row>
    <row r="19" spans="2:21" x14ac:dyDescent="0.3">
      <c r="B19" t="s">
        <v>3</v>
      </c>
      <c r="C19" s="2">
        <f t="shared" ref="C19:J19" si="4">C18*C8</f>
        <v>24.715384190071465</v>
      </c>
      <c r="D19" s="2">
        <f t="shared" si="4"/>
        <v>45.642199833046035</v>
      </c>
      <c r="E19" s="2">
        <f t="shared" si="4"/>
        <v>65.809669701984291</v>
      </c>
      <c r="F19" s="2">
        <f t="shared" si="4"/>
        <v>72.309878898772652</v>
      </c>
      <c r="G19" s="2">
        <f t="shared" si="4"/>
        <v>85.160576251833888</v>
      </c>
      <c r="H19" s="2">
        <f t="shared" si="4"/>
        <v>103.84768471563648</v>
      </c>
      <c r="I19" s="2">
        <f t="shared" si="4"/>
        <v>121.76223959200695</v>
      </c>
      <c r="J19" s="2">
        <f t="shared" si="4"/>
        <v>155.71398424991057</v>
      </c>
      <c r="K19" s="2">
        <f t="shared" ref="K19:S19" si="5">K18*K8</f>
        <v>216.38035955570697</v>
      </c>
      <c r="L19" s="2">
        <f t="shared" si="5"/>
        <v>24.715384190071465</v>
      </c>
      <c r="M19" s="2">
        <f t="shared" si="5"/>
        <v>24.715384190071465</v>
      </c>
      <c r="N19" s="2">
        <f t="shared" si="5"/>
        <v>24.715384190071465</v>
      </c>
      <c r="O19" s="2">
        <f t="shared" si="5"/>
        <v>24.715384190071465</v>
      </c>
      <c r="P19" s="2">
        <f t="shared" si="5"/>
        <v>24.715384190071465</v>
      </c>
      <c r="Q19" s="2">
        <f t="shared" si="5"/>
        <v>24.715384190071465</v>
      </c>
      <c r="R19" s="2">
        <f t="shared" si="5"/>
        <v>24.715384190071465</v>
      </c>
      <c r="S19" s="2">
        <f t="shared" si="5"/>
        <v>24.715384190071465</v>
      </c>
      <c r="T19" s="2">
        <f t="shared" ref="T19:U19" si="6">T18*T8</f>
        <v>24.715384190071465</v>
      </c>
      <c r="U19" s="2">
        <f t="shared" si="6"/>
        <v>0</v>
      </c>
    </row>
    <row r="20" spans="2:21" x14ac:dyDescent="0.3">
      <c r="B20" t="s">
        <v>4</v>
      </c>
      <c r="C20" s="2">
        <f t="shared" ref="C20:J20" si="7">C18*C9</f>
        <v>24.715384190071465</v>
      </c>
      <c r="D20" s="2">
        <f t="shared" si="7"/>
        <v>45.642199833046035</v>
      </c>
      <c r="E20" s="2">
        <f t="shared" si="7"/>
        <v>65.809669701984291</v>
      </c>
      <c r="F20" s="2">
        <f t="shared" si="7"/>
        <v>72.309878898772652</v>
      </c>
      <c r="G20" s="2">
        <f t="shared" si="7"/>
        <v>85.160576251833888</v>
      </c>
      <c r="H20" s="2">
        <f t="shared" si="7"/>
        <v>103.84768471563648</v>
      </c>
      <c r="I20" s="2">
        <f t="shared" si="7"/>
        <v>121.76223959200695</v>
      </c>
      <c r="J20" s="2">
        <f t="shared" si="7"/>
        <v>155.71398424991057</v>
      </c>
      <c r="K20" s="2">
        <f t="shared" ref="K20:S20" si="8">K18*K9</f>
        <v>216.38035955570697</v>
      </c>
      <c r="L20" s="2">
        <f t="shared" si="8"/>
        <v>24.715384190071465</v>
      </c>
      <c r="M20" s="2">
        <f t="shared" si="8"/>
        <v>24.715384190071465</v>
      </c>
      <c r="N20" s="2">
        <f t="shared" si="8"/>
        <v>24.715384190071465</v>
      </c>
      <c r="O20" s="2">
        <f t="shared" si="8"/>
        <v>24.715384190071465</v>
      </c>
      <c r="P20" s="2">
        <f t="shared" si="8"/>
        <v>24.715384190071465</v>
      </c>
      <c r="Q20" s="2">
        <f t="shared" si="8"/>
        <v>24.715384190071465</v>
      </c>
      <c r="R20" s="2">
        <f t="shared" si="8"/>
        <v>24.715384190071465</v>
      </c>
      <c r="S20" s="2">
        <f t="shared" si="8"/>
        <v>24.715384190071465</v>
      </c>
      <c r="T20" s="2">
        <f t="shared" ref="T20:U20" si="9">T18*T9</f>
        <v>24.715384190071465</v>
      </c>
      <c r="U20" s="2">
        <f t="shared" si="9"/>
        <v>0</v>
      </c>
    </row>
    <row r="21" spans="2:21" x14ac:dyDescent="0.3">
      <c r="B21" t="s">
        <v>12</v>
      </c>
      <c r="C21" s="2">
        <f t="shared" ref="C21:J21" si="10">C17*C2</f>
        <v>214.19999631395268</v>
      </c>
      <c r="D21" s="2">
        <f t="shared" si="10"/>
        <v>395.56573188639902</v>
      </c>
      <c r="E21" s="2">
        <f t="shared" si="10"/>
        <v>570.35047075053058</v>
      </c>
      <c r="F21" s="2">
        <f t="shared" si="10"/>
        <v>626.68561712269639</v>
      </c>
      <c r="G21" s="2">
        <f t="shared" si="10"/>
        <v>738.05832751589378</v>
      </c>
      <c r="H21" s="2">
        <f t="shared" si="10"/>
        <v>900.01326753551621</v>
      </c>
      <c r="I21" s="2">
        <f t="shared" si="10"/>
        <v>1055.2727431307269</v>
      </c>
      <c r="J21" s="2">
        <f t="shared" si="10"/>
        <v>1349.5211968325584</v>
      </c>
      <c r="K21" s="2">
        <f t="shared" ref="K21:S21" si="11">K17*K2</f>
        <v>1875.2964494827941</v>
      </c>
      <c r="L21" s="2">
        <f t="shared" si="11"/>
        <v>214.19999631395268</v>
      </c>
      <c r="M21" s="2">
        <f t="shared" si="11"/>
        <v>214.19999631395268</v>
      </c>
      <c r="N21" s="2">
        <f t="shared" si="11"/>
        <v>214.19999631395268</v>
      </c>
      <c r="O21" s="2">
        <f t="shared" si="11"/>
        <v>214.19999631395268</v>
      </c>
      <c r="P21" s="2">
        <f t="shared" si="11"/>
        <v>214.19999631395268</v>
      </c>
      <c r="Q21" s="2">
        <f t="shared" si="11"/>
        <v>214.19999631395268</v>
      </c>
      <c r="R21" s="2">
        <f t="shared" si="11"/>
        <v>214.19999631395268</v>
      </c>
      <c r="S21" s="2">
        <f t="shared" si="11"/>
        <v>214.19999631395268</v>
      </c>
      <c r="T21" s="2">
        <f t="shared" ref="T21:U21" si="12">T17*T2</f>
        <v>214.19999631395268</v>
      </c>
      <c r="U21" s="2">
        <f t="shared" si="12"/>
        <v>0</v>
      </c>
    </row>
    <row r="23" spans="2:21" x14ac:dyDescent="0.3">
      <c r="B23" t="s">
        <v>21</v>
      </c>
      <c r="C23" s="7">
        <f t="shared" ref="C23:J23" si="13">ROUND(IRR(C370:C430),5)</f>
        <v>0.02</v>
      </c>
      <c r="D23" s="7">
        <f t="shared" si="13"/>
        <v>0.02</v>
      </c>
      <c r="E23" s="7">
        <f t="shared" si="13"/>
        <v>0.02</v>
      </c>
      <c r="F23" s="7">
        <f t="shared" si="13"/>
        <v>0.02</v>
      </c>
      <c r="G23" s="7">
        <f t="shared" si="13"/>
        <v>0.02</v>
      </c>
      <c r="H23" s="7">
        <f t="shared" si="13"/>
        <v>0.02</v>
      </c>
      <c r="I23" s="7">
        <f t="shared" si="13"/>
        <v>0.02</v>
      </c>
      <c r="J23" s="7">
        <f t="shared" si="13"/>
        <v>0.02</v>
      </c>
      <c r="K23" s="7">
        <f t="shared" ref="K23:S23" si="14">ROUND(IRR(K370:K430),5)</f>
        <v>0.02</v>
      </c>
      <c r="L23" s="7">
        <f t="shared" si="14"/>
        <v>0.02</v>
      </c>
      <c r="M23" s="7">
        <f t="shared" si="14"/>
        <v>0.02</v>
      </c>
      <c r="N23" s="7">
        <f t="shared" si="14"/>
        <v>0.02</v>
      </c>
      <c r="O23" s="7">
        <f t="shared" si="14"/>
        <v>0.02</v>
      </c>
      <c r="P23" s="7">
        <f t="shared" si="14"/>
        <v>0.02</v>
      </c>
      <c r="Q23" s="7">
        <f t="shared" si="14"/>
        <v>0.02</v>
      </c>
      <c r="R23" s="7">
        <f t="shared" si="14"/>
        <v>0.02</v>
      </c>
      <c r="S23" s="7">
        <f t="shared" si="14"/>
        <v>0.02</v>
      </c>
      <c r="T23" s="7">
        <f t="shared" ref="T23:U23" si="15">ROUND(IRR(T370:T430),5)</f>
        <v>0.02</v>
      </c>
      <c r="U23" s="7">
        <f t="shared" si="15"/>
        <v>2.393E-2</v>
      </c>
    </row>
    <row r="24" spans="2:21" x14ac:dyDescent="0.3">
      <c r="B24" t="s">
        <v>25</v>
      </c>
      <c r="C24" s="7">
        <f t="shared" ref="C24:J24" si="16">ROUND(C23*12,5)</f>
        <v>0.24</v>
      </c>
      <c r="D24" s="7">
        <f t="shared" si="16"/>
        <v>0.24</v>
      </c>
      <c r="E24" s="7">
        <f t="shared" si="16"/>
        <v>0.24</v>
      </c>
      <c r="F24" s="7">
        <f t="shared" si="16"/>
        <v>0.24</v>
      </c>
      <c r="G24" s="7">
        <f t="shared" si="16"/>
        <v>0.24</v>
      </c>
      <c r="H24" s="7">
        <f t="shared" si="16"/>
        <v>0.24</v>
      </c>
      <c r="I24" s="7">
        <f t="shared" si="16"/>
        <v>0.24</v>
      </c>
      <c r="J24" s="7">
        <f t="shared" si="16"/>
        <v>0.24</v>
      </c>
      <c r="K24" s="7">
        <f t="shared" ref="K24:S24" si="17">ROUND(K23*12,5)</f>
        <v>0.24</v>
      </c>
      <c r="L24" s="7">
        <f t="shared" si="17"/>
        <v>0.24</v>
      </c>
      <c r="M24" s="7">
        <f t="shared" si="17"/>
        <v>0.24</v>
      </c>
      <c r="N24" s="7">
        <f t="shared" si="17"/>
        <v>0.24</v>
      </c>
      <c r="O24" s="7">
        <f t="shared" si="17"/>
        <v>0.24</v>
      </c>
      <c r="P24" s="7">
        <f t="shared" si="17"/>
        <v>0.24</v>
      </c>
      <c r="Q24" s="7">
        <f t="shared" si="17"/>
        <v>0.24</v>
      </c>
      <c r="R24" s="7">
        <f t="shared" si="17"/>
        <v>0.24</v>
      </c>
      <c r="S24" s="7">
        <f t="shared" si="17"/>
        <v>0.24</v>
      </c>
      <c r="T24" s="7">
        <f t="shared" ref="T24:U24" si="18">ROUND(T23*12,5)</f>
        <v>0.24</v>
      </c>
      <c r="U24" s="7">
        <f t="shared" si="18"/>
        <v>0.28716000000000003</v>
      </c>
    </row>
    <row r="25" spans="2:21" x14ac:dyDescent="0.3">
      <c r="B25" t="s">
        <v>20</v>
      </c>
      <c r="C25" s="6">
        <f t="shared" ref="C25:U25" si="19">ROUND((C26+1)^(1/12)-1,5)</f>
        <v>2.0279999999999999E-2</v>
      </c>
      <c r="D25" s="6">
        <f t="shared" si="19"/>
        <v>2.0209999999999999E-2</v>
      </c>
      <c r="E25" s="6">
        <f t="shared" si="19"/>
        <v>2.0129999999999999E-2</v>
      </c>
      <c r="F25" s="6">
        <f t="shared" si="19"/>
        <v>2.0109999999999999E-2</v>
      </c>
      <c r="G25" s="6">
        <f t="shared" si="19"/>
        <v>2.0080000000000001E-2</v>
      </c>
      <c r="H25" s="6">
        <f t="shared" si="19"/>
        <v>2.0060000000000001E-2</v>
      </c>
      <c r="I25" s="6">
        <f t="shared" si="19"/>
        <v>2.0039999999999999E-2</v>
      </c>
      <c r="J25" s="6">
        <f t="shared" si="19"/>
        <v>2.002E-2</v>
      </c>
      <c r="K25" s="6">
        <f t="shared" si="19"/>
        <v>0.02</v>
      </c>
      <c r="L25" s="6">
        <f t="shared" si="19"/>
        <v>2.0279999999999999E-2</v>
      </c>
      <c r="M25" s="6">
        <f t="shared" si="19"/>
        <v>2.0219999999999998E-2</v>
      </c>
      <c r="N25" s="6">
        <f t="shared" si="19"/>
        <v>2.0129999999999999E-2</v>
      </c>
      <c r="O25" s="6">
        <f t="shared" si="19"/>
        <v>2.0109999999999999E-2</v>
      </c>
      <c r="P25" s="6">
        <f t="shared" si="19"/>
        <v>2.009E-2</v>
      </c>
      <c r="Q25" s="6">
        <f t="shared" si="19"/>
        <v>2.0060000000000001E-2</v>
      </c>
      <c r="R25" s="6">
        <f t="shared" si="19"/>
        <v>2.0049999999999998E-2</v>
      </c>
      <c r="S25" s="6">
        <f t="shared" si="19"/>
        <v>2.002E-2</v>
      </c>
      <c r="T25" s="6">
        <f t="shared" si="19"/>
        <v>0.02</v>
      </c>
      <c r="U25" s="6">
        <f t="shared" si="19"/>
        <v>2.4E-2</v>
      </c>
    </row>
    <row r="26" spans="2:21" x14ac:dyDescent="0.3">
      <c r="B26" t="s">
        <v>26</v>
      </c>
      <c r="C26" s="6">
        <f t="shared" ref="C26:J26" si="20">ROUND(XIRR(C370:C430,$B$370:$B$430),5)</f>
        <v>0.27243000000000001</v>
      </c>
      <c r="D26" s="6">
        <f t="shared" si="20"/>
        <v>0.27145000000000002</v>
      </c>
      <c r="E26" s="6">
        <f t="shared" si="20"/>
        <v>0.27024999999999999</v>
      </c>
      <c r="F26" s="6">
        <f t="shared" si="20"/>
        <v>0.26984000000000002</v>
      </c>
      <c r="G26" s="6">
        <f t="shared" si="20"/>
        <v>0.26946999999999999</v>
      </c>
      <c r="H26" s="6">
        <f t="shared" si="20"/>
        <v>0.26912999999999998</v>
      </c>
      <c r="I26" s="6">
        <f t="shared" si="20"/>
        <v>0.26889000000000002</v>
      </c>
      <c r="J26" s="6">
        <f t="shared" si="20"/>
        <v>0.26852999999999999</v>
      </c>
      <c r="K26" s="6">
        <f t="shared" ref="K26:S26" si="21">ROUND(XIRR(K370:K430,$B$370:$B$430),5)</f>
        <v>0.26830999999999999</v>
      </c>
      <c r="L26" s="6">
        <f t="shared" si="21"/>
        <v>0.27243000000000001</v>
      </c>
      <c r="M26" s="6">
        <f t="shared" si="21"/>
        <v>0.27150000000000002</v>
      </c>
      <c r="N26" s="6">
        <f t="shared" si="21"/>
        <v>0.2702</v>
      </c>
      <c r="O26" s="6">
        <f t="shared" si="21"/>
        <v>0.26989000000000002</v>
      </c>
      <c r="P26" s="6">
        <f t="shared" si="21"/>
        <v>0.26955000000000001</v>
      </c>
      <c r="Q26" s="6">
        <f t="shared" si="21"/>
        <v>0.26909</v>
      </c>
      <c r="R26" s="6">
        <f t="shared" si="21"/>
        <v>0.26898</v>
      </c>
      <c r="S26" s="6">
        <f t="shared" si="21"/>
        <v>0.26852999999999999</v>
      </c>
      <c r="T26" s="6">
        <f t="shared" ref="T26:U26" si="22">ROUND(XIRR(T370:T430,$B$370:$B$430),5)</f>
        <v>0.26830999999999999</v>
      </c>
      <c r="U26" s="6">
        <f t="shared" si="22"/>
        <v>0.32919999999999999</v>
      </c>
    </row>
    <row r="27" spans="2:21" x14ac:dyDescent="0.3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</row>
    <row r="28" spans="2:21" x14ac:dyDescent="0.3">
      <c r="B28" t="s">
        <v>37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</row>
    <row r="29" spans="2:21" x14ac:dyDescent="0.3">
      <c r="B29" t="s">
        <v>31</v>
      </c>
      <c r="C29" s="2">
        <f t="shared" ref="C29:T29" si="23">IF(C$11&lt;&gt;3,0,C2*C10*C12/12)</f>
        <v>0</v>
      </c>
      <c r="D29" s="2">
        <f t="shared" si="23"/>
        <v>0</v>
      </c>
      <c r="E29" s="2">
        <f t="shared" si="23"/>
        <v>0</v>
      </c>
      <c r="F29" s="2">
        <f t="shared" si="23"/>
        <v>0</v>
      </c>
      <c r="G29" s="2">
        <f t="shared" si="23"/>
        <v>0</v>
      </c>
      <c r="H29" s="2">
        <f t="shared" si="23"/>
        <v>0</v>
      </c>
      <c r="I29" s="2">
        <f t="shared" si="23"/>
        <v>0</v>
      </c>
      <c r="J29" s="2">
        <f t="shared" si="23"/>
        <v>0</v>
      </c>
      <c r="K29" s="2">
        <f t="shared" si="23"/>
        <v>0</v>
      </c>
      <c r="L29" s="2">
        <f t="shared" si="23"/>
        <v>0</v>
      </c>
      <c r="M29" s="2">
        <f t="shared" si="23"/>
        <v>0</v>
      </c>
      <c r="N29" s="2">
        <f t="shared" si="23"/>
        <v>0</v>
      </c>
      <c r="O29" s="2">
        <f t="shared" si="23"/>
        <v>0</v>
      </c>
      <c r="P29" s="2">
        <f t="shared" si="23"/>
        <v>0</v>
      </c>
      <c r="Q29" s="2">
        <f t="shared" si="23"/>
        <v>0</v>
      </c>
      <c r="R29" s="2">
        <f t="shared" si="23"/>
        <v>0</v>
      </c>
      <c r="S29" s="2">
        <f t="shared" si="23"/>
        <v>0</v>
      </c>
      <c r="T29" s="2">
        <f t="shared" si="23"/>
        <v>0</v>
      </c>
      <c r="U29" s="2">
        <f>IF(U$11&lt;&gt;3,0,U2*U10*U12/12)</f>
        <v>2566.6666666666665</v>
      </c>
    </row>
    <row r="30" spans="2:21" x14ac:dyDescent="0.3">
      <c r="B30" s="13" t="s">
        <v>32</v>
      </c>
      <c r="C30" s="2">
        <f t="shared" ref="C30:T30" si="24">IF(C$11&lt;&gt;3,0,C2*C12*C5)</f>
        <v>0</v>
      </c>
      <c r="D30" s="2">
        <f t="shared" si="24"/>
        <v>0</v>
      </c>
      <c r="E30" s="2">
        <f t="shared" si="24"/>
        <v>0</v>
      </c>
      <c r="F30" s="2">
        <f t="shared" si="24"/>
        <v>0</v>
      </c>
      <c r="G30" s="2">
        <f t="shared" si="24"/>
        <v>0</v>
      </c>
      <c r="H30" s="2">
        <f t="shared" si="24"/>
        <v>0</v>
      </c>
      <c r="I30" s="2">
        <f t="shared" si="24"/>
        <v>0</v>
      </c>
      <c r="J30" s="2">
        <f t="shared" si="24"/>
        <v>0</v>
      </c>
      <c r="K30" s="2">
        <f t="shared" si="24"/>
        <v>0</v>
      </c>
      <c r="L30" s="2">
        <f t="shared" si="24"/>
        <v>0</v>
      </c>
      <c r="M30" s="2">
        <f t="shared" si="24"/>
        <v>0</v>
      </c>
      <c r="N30" s="2">
        <f t="shared" si="24"/>
        <v>0</v>
      </c>
      <c r="O30" s="2">
        <f t="shared" si="24"/>
        <v>0</v>
      </c>
      <c r="P30" s="2">
        <f t="shared" si="24"/>
        <v>0</v>
      </c>
      <c r="Q30" s="2">
        <f t="shared" si="24"/>
        <v>0</v>
      </c>
      <c r="R30" s="2">
        <f t="shared" si="24"/>
        <v>0</v>
      </c>
      <c r="S30" s="2">
        <f t="shared" si="24"/>
        <v>0</v>
      </c>
      <c r="T30" s="2">
        <f t="shared" si="24"/>
        <v>0</v>
      </c>
      <c r="U30" s="2">
        <f>IF(U$11&lt;&gt;3,0,U2*U12*U5)</f>
        <v>1600</v>
      </c>
    </row>
    <row r="31" spans="2:21" x14ac:dyDescent="0.3">
      <c r="B31" s="13" t="s">
        <v>33</v>
      </c>
      <c r="C31" s="2">
        <f t="shared" ref="C31:T31" si="25">IF(C$11&lt;&gt;3,0,C18)</f>
        <v>0</v>
      </c>
      <c r="D31" s="2">
        <f t="shared" si="25"/>
        <v>0</v>
      </c>
      <c r="E31" s="2">
        <f t="shared" si="25"/>
        <v>0</v>
      </c>
      <c r="F31" s="2">
        <f t="shared" si="25"/>
        <v>0</v>
      </c>
      <c r="G31" s="2">
        <f t="shared" si="25"/>
        <v>0</v>
      </c>
      <c r="H31" s="2">
        <f t="shared" si="25"/>
        <v>0</v>
      </c>
      <c r="I31" s="2">
        <f t="shared" si="25"/>
        <v>0</v>
      </c>
      <c r="J31" s="2">
        <f t="shared" si="25"/>
        <v>0</v>
      </c>
      <c r="K31" s="2">
        <f t="shared" si="25"/>
        <v>0</v>
      </c>
      <c r="L31" s="2">
        <f t="shared" si="25"/>
        <v>0</v>
      </c>
      <c r="M31" s="2">
        <f t="shared" si="25"/>
        <v>0</v>
      </c>
      <c r="N31" s="2">
        <f t="shared" si="25"/>
        <v>0</v>
      </c>
      <c r="O31" s="2">
        <f t="shared" si="25"/>
        <v>0</v>
      </c>
      <c r="P31" s="2">
        <f t="shared" si="25"/>
        <v>0</v>
      </c>
      <c r="Q31" s="2">
        <f t="shared" si="25"/>
        <v>0</v>
      </c>
      <c r="R31" s="2">
        <f t="shared" si="25"/>
        <v>0</v>
      </c>
      <c r="S31" s="2">
        <f t="shared" si="25"/>
        <v>0</v>
      </c>
      <c r="T31" s="2">
        <f t="shared" si="25"/>
        <v>0</v>
      </c>
      <c r="U31" s="2">
        <f>IF(U$11&lt;&gt;3,0,U18)</f>
        <v>0</v>
      </c>
    </row>
    <row r="32" spans="2:21" x14ac:dyDescent="0.3">
      <c r="B32" s="13" t="s">
        <v>30</v>
      </c>
      <c r="C32" s="2">
        <f t="shared" ref="C32:T32" si="26">IF(C$11&lt;&gt;3,0,C31+C30-C29)</f>
        <v>0</v>
      </c>
      <c r="D32" s="2">
        <f t="shared" si="26"/>
        <v>0</v>
      </c>
      <c r="E32" s="2">
        <f t="shared" si="26"/>
        <v>0</v>
      </c>
      <c r="F32" s="2">
        <f t="shared" si="26"/>
        <v>0</v>
      </c>
      <c r="G32" s="2">
        <f t="shared" si="26"/>
        <v>0</v>
      </c>
      <c r="H32" s="2">
        <f t="shared" si="26"/>
        <v>0</v>
      </c>
      <c r="I32" s="2">
        <f t="shared" si="26"/>
        <v>0</v>
      </c>
      <c r="J32" s="2">
        <f t="shared" si="26"/>
        <v>0</v>
      </c>
      <c r="K32" s="2">
        <f t="shared" si="26"/>
        <v>0</v>
      </c>
      <c r="L32" s="2">
        <f t="shared" si="26"/>
        <v>0</v>
      </c>
      <c r="M32" s="2">
        <f t="shared" si="26"/>
        <v>0</v>
      </c>
      <c r="N32" s="2">
        <f t="shared" si="26"/>
        <v>0</v>
      </c>
      <c r="O32" s="2">
        <f t="shared" si="26"/>
        <v>0</v>
      </c>
      <c r="P32" s="2">
        <f t="shared" si="26"/>
        <v>0</v>
      </c>
      <c r="Q32" s="2">
        <f t="shared" si="26"/>
        <v>0</v>
      </c>
      <c r="R32" s="2">
        <f t="shared" si="26"/>
        <v>0</v>
      </c>
      <c r="S32" s="2">
        <f t="shared" si="26"/>
        <v>0</v>
      </c>
      <c r="T32" s="2">
        <f t="shared" si="26"/>
        <v>0</v>
      </c>
      <c r="U32" s="2">
        <f>IF(U$11&lt;&gt;3,0,U31+U30-U29)</f>
        <v>-966.66666666666652</v>
      </c>
    </row>
    <row r="33" spans="2:21" x14ac:dyDescent="0.3">
      <c r="B33" s="13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3">
      <c r="B34" s="13" t="s">
        <v>34</v>
      </c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3">
      <c r="B35" s="13">
        <v>5.0000000000000001E-3</v>
      </c>
      <c r="C35" s="2">
        <f t="shared" ref="C35:T38" si="27">IF(C$11&lt;&gt;3,0,$B35*C$2*(1+SUM(C$8:C$9)))</f>
        <v>0</v>
      </c>
      <c r="D35" s="2">
        <f t="shared" si="27"/>
        <v>0</v>
      </c>
      <c r="E35" s="2">
        <f t="shared" si="27"/>
        <v>0</v>
      </c>
      <c r="F35" s="2">
        <f t="shared" si="27"/>
        <v>0</v>
      </c>
      <c r="G35" s="2">
        <f t="shared" si="27"/>
        <v>0</v>
      </c>
      <c r="H35" s="2">
        <f t="shared" si="27"/>
        <v>0</v>
      </c>
      <c r="I35" s="2">
        <f t="shared" si="27"/>
        <v>0</v>
      </c>
      <c r="J35" s="2">
        <f t="shared" si="27"/>
        <v>0</v>
      </c>
      <c r="K35" s="2">
        <f t="shared" si="27"/>
        <v>0</v>
      </c>
      <c r="L35" s="2">
        <f t="shared" si="27"/>
        <v>0</v>
      </c>
      <c r="M35" s="2">
        <f t="shared" si="27"/>
        <v>0</v>
      </c>
      <c r="N35" s="2">
        <f t="shared" si="27"/>
        <v>0</v>
      </c>
      <c r="O35" s="2">
        <f t="shared" si="27"/>
        <v>0</v>
      </c>
      <c r="P35" s="2">
        <f t="shared" si="27"/>
        <v>0</v>
      </c>
      <c r="Q35" s="2">
        <f t="shared" si="27"/>
        <v>0</v>
      </c>
      <c r="R35" s="2">
        <f t="shared" si="27"/>
        <v>0</v>
      </c>
      <c r="S35" s="2">
        <f t="shared" si="27"/>
        <v>0</v>
      </c>
      <c r="T35" s="2">
        <f t="shared" si="27"/>
        <v>0</v>
      </c>
      <c r="U35" s="2">
        <f>IF(U$11&lt;&gt;3,0,$B35*U$2*(1+SUM(U$8:U$9)))</f>
        <v>65</v>
      </c>
    </row>
    <row r="36" spans="2:21" x14ac:dyDescent="0.3">
      <c r="B36" s="13">
        <v>0.01</v>
      </c>
      <c r="C36" s="2">
        <f t="shared" si="27"/>
        <v>0</v>
      </c>
      <c r="D36" s="2">
        <f t="shared" si="27"/>
        <v>0</v>
      </c>
      <c r="E36" s="2">
        <f t="shared" si="27"/>
        <v>0</v>
      </c>
      <c r="F36" s="2">
        <f t="shared" si="27"/>
        <v>0</v>
      </c>
      <c r="G36" s="2">
        <f t="shared" si="27"/>
        <v>0</v>
      </c>
      <c r="H36" s="2">
        <f t="shared" si="27"/>
        <v>0</v>
      </c>
      <c r="I36" s="2">
        <f t="shared" si="27"/>
        <v>0</v>
      </c>
      <c r="J36" s="2">
        <f t="shared" si="27"/>
        <v>0</v>
      </c>
      <c r="K36" s="2">
        <f t="shared" si="27"/>
        <v>0</v>
      </c>
      <c r="L36" s="2">
        <f t="shared" si="27"/>
        <v>0</v>
      </c>
      <c r="M36" s="2">
        <f t="shared" si="27"/>
        <v>0</v>
      </c>
      <c r="N36" s="2">
        <f t="shared" si="27"/>
        <v>0</v>
      </c>
      <c r="O36" s="2">
        <f t="shared" si="27"/>
        <v>0</v>
      </c>
      <c r="P36" s="2">
        <f t="shared" si="27"/>
        <v>0</v>
      </c>
      <c r="Q36" s="2">
        <f t="shared" si="27"/>
        <v>0</v>
      </c>
      <c r="R36" s="2">
        <f t="shared" si="27"/>
        <v>0</v>
      </c>
      <c r="S36" s="2">
        <f t="shared" si="27"/>
        <v>0</v>
      </c>
      <c r="T36" s="2">
        <f t="shared" si="27"/>
        <v>0</v>
      </c>
      <c r="U36" s="2">
        <f>IF(U$11&lt;&gt;3,0,$B36*U$2*(1+SUM(U$8:U$9)))</f>
        <v>130</v>
      </c>
    </row>
    <row r="37" spans="2:21" x14ac:dyDescent="0.3">
      <c r="B37" s="13">
        <v>0.02</v>
      </c>
      <c r="C37" s="2">
        <f t="shared" si="27"/>
        <v>0</v>
      </c>
      <c r="D37" s="2">
        <f t="shared" si="27"/>
        <v>0</v>
      </c>
      <c r="E37" s="2">
        <f t="shared" si="27"/>
        <v>0</v>
      </c>
      <c r="F37" s="2">
        <f t="shared" si="27"/>
        <v>0</v>
      </c>
      <c r="G37" s="2">
        <f t="shared" si="27"/>
        <v>0</v>
      </c>
      <c r="H37" s="2">
        <f t="shared" si="27"/>
        <v>0</v>
      </c>
      <c r="I37" s="2">
        <f t="shared" si="27"/>
        <v>0</v>
      </c>
      <c r="J37" s="2">
        <f t="shared" si="27"/>
        <v>0</v>
      </c>
      <c r="K37" s="2">
        <f t="shared" si="27"/>
        <v>0</v>
      </c>
      <c r="L37" s="2">
        <f t="shared" si="27"/>
        <v>0</v>
      </c>
      <c r="M37" s="2">
        <f t="shared" si="27"/>
        <v>0</v>
      </c>
      <c r="N37" s="2">
        <f t="shared" si="27"/>
        <v>0</v>
      </c>
      <c r="O37" s="2">
        <f t="shared" si="27"/>
        <v>0</v>
      </c>
      <c r="P37" s="2">
        <f t="shared" si="27"/>
        <v>0</v>
      </c>
      <c r="Q37" s="2">
        <f t="shared" si="27"/>
        <v>0</v>
      </c>
      <c r="R37" s="2">
        <f t="shared" si="27"/>
        <v>0</v>
      </c>
      <c r="S37" s="2">
        <f t="shared" si="27"/>
        <v>0</v>
      </c>
      <c r="T37" s="2">
        <f t="shared" si="27"/>
        <v>0</v>
      </c>
      <c r="U37" s="2">
        <f>IF(U$11&lt;&gt;3,0,$B37*U$2*(1+SUM(U$8:U$9)))</f>
        <v>260</v>
      </c>
    </row>
    <row r="38" spans="2:21" x14ac:dyDescent="0.3">
      <c r="B38" s="13">
        <v>0.03</v>
      </c>
      <c r="C38" s="2">
        <f t="shared" si="27"/>
        <v>0</v>
      </c>
      <c r="D38" s="2">
        <f t="shared" si="27"/>
        <v>0</v>
      </c>
      <c r="E38" s="2">
        <f t="shared" si="27"/>
        <v>0</v>
      </c>
      <c r="F38" s="2">
        <f t="shared" si="27"/>
        <v>0</v>
      </c>
      <c r="G38" s="2">
        <f t="shared" si="27"/>
        <v>0</v>
      </c>
      <c r="H38" s="2">
        <f t="shared" si="27"/>
        <v>0</v>
      </c>
      <c r="I38" s="2">
        <f t="shared" si="27"/>
        <v>0</v>
      </c>
      <c r="J38" s="2">
        <f t="shared" si="27"/>
        <v>0</v>
      </c>
      <c r="K38" s="2">
        <f t="shared" si="27"/>
        <v>0</v>
      </c>
      <c r="L38" s="2">
        <f t="shared" si="27"/>
        <v>0</v>
      </c>
      <c r="M38" s="2">
        <f t="shared" si="27"/>
        <v>0</v>
      </c>
      <c r="N38" s="2">
        <f t="shared" si="27"/>
        <v>0</v>
      </c>
      <c r="O38" s="2">
        <f t="shared" si="27"/>
        <v>0</v>
      </c>
      <c r="P38" s="2">
        <f t="shared" si="27"/>
        <v>0</v>
      </c>
      <c r="Q38" s="2">
        <f t="shared" si="27"/>
        <v>0</v>
      </c>
      <c r="R38" s="2">
        <f t="shared" si="27"/>
        <v>0</v>
      </c>
      <c r="S38" s="2">
        <f t="shared" si="27"/>
        <v>0</v>
      </c>
      <c r="T38" s="2">
        <f t="shared" si="27"/>
        <v>0</v>
      </c>
      <c r="U38" s="2">
        <f>IF(U$11&lt;&gt;3,0,$B38*U$2*(1+SUM(U$8:U$9)))</f>
        <v>390</v>
      </c>
    </row>
    <row r="39" spans="2:21" x14ac:dyDescent="0.3">
      <c r="B39" s="13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3">
      <c r="B40" s="13" t="s">
        <v>35</v>
      </c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3">
      <c r="B41" s="13">
        <f>B35</f>
        <v>5.0000000000000001E-3</v>
      </c>
      <c r="C41" s="5">
        <f t="shared" ref="C41:T41" si="28">IF(C$11&lt;&gt;3,0,(C$21+C35*(1+SUM(C$8:C$9)))/C$2)</f>
        <v>0</v>
      </c>
      <c r="D41" s="5">
        <f t="shared" si="28"/>
        <v>0</v>
      </c>
      <c r="E41" s="5">
        <f t="shared" si="28"/>
        <v>0</v>
      </c>
      <c r="F41" s="5">
        <f t="shared" si="28"/>
        <v>0</v>
      </c>
      <c r="G41" s="5">
        <f t="shared" si="28"/>
        <v>0</v>
      </c>
      <c r="H41" s="5">
        <f t="shared" si="28"/>
        <v>0</v>
      </c>
      <c r="I41" s="5">
        <f t="shared" si="28"/>
        <v>0</v>
      </c>
      <c r="J41" s="5">
        <f t="shared" si="28"/>
        <v>0</v>
      </c>
      <c r="K41" s="5">
        <f t="shared" si="28"/>
        <v>0</v>
      </c>
      <c r="L41" s="5">
        <f t="shared" si="28"/>
        <v>0</v>
      </c>
      <c r="M41" s="5">
        <f t="shared" si="28"/>
        <v>0</v>
      </c>
      <c r="N41" s="5">
        <f t="shared" si="28"/>
        <v>0</v>
      </c>
      <c r="O41" s="5">
        <f t="shared" si="28"/>
        <v>0</v>
      </c>
      <c r="P41" s="5">
        <f t="shared" si="28"/>
        <v>0</v>
      </c>
      <c r="Q41" s="5">
        <f t="shared" si="28"/>
        <v>0</v>
      </c>
      <c r="R41" s="5">
        <f t="shared" si="28"/>
        <v>0</v>
      </c>
      <c r="S41" s="5">
        <f t="shared" si="28"/>
        <v>0</v>
      </c>
      <c r="T41" s="5">
        <f t="shared" si="28"/>
        <v>0</v>
      </c>
      <c r="U41" s="5">
        <f>IF(U$11&lt;&gt;3,0,(U$21+U35*(1+SUM(U$8:U$9)))/U$2)</f>
        <v>8.4499999999999992E-3</v>
      </c>
    </row>
    <row r="42" spans="2:21" x14ac:dyDescent="0.3">
      <c r="B42" s="13">
        <f t="shared" ref="B42:B44" si="29">B36</f>
        <v>0.01</v>
      </c>
      <c r="C42" s="5">
        <f t="shared" ref="C42:T42" si="30">IF(C$11&lt;&gt;3,0,(C$21+C36*(1+SUM(C$8:C$9)))/C$2)</f>
        <v>0</v>
      </c>
      <c r="D42" s="5">
        <f t="shared" si="30"/>
        <v>0</v>
      </c>
      <c r="E42" s="5">
        <f t="shared" si="30"/>
        <v>0</v>
      </c>
      <c r="F42" s="5">
        <f t="shared" si="30"/>
        <v>0</v>
      </c>
      <c r="G42" s="5">
        <f t="shared" si="30"/>
        <v>0</v>
      </c>
      <c r="H42" s="5">
        <f t="shared" si="30"/>
        <v>0</v>
      </c>
      <c r="I42" s="5">
        <f t="shared" si="30"/>
        <v>0</v>
      </c>
      <c r="J42" s="5">
        <f t="shared" si="30"/>
        <v>0</v>
      </c>
      <c r="K42" s="5">
        <f t="shared" si="30"/>
        <v>0</v>
      </c>
      <c r="L42" s="5">
        <f t="shared" si="30"/>
        <v>0</v>
      </c>
      <c r="M42" s="5">
        <f t="shared" si="30"/>
        <v>0</v>
      </c>
      <c r="N42" s="5">
        <f t="shared" si="30"/>
        <v>0</v>
      </c>
      <c r="O42" s="5">
        <f t="shared" si="30"/>
        <v>0</v>
      </c>
      <c r="P42" s="5">
        <f t="shared" si="30"/>
        <v>0</v>
      </c>
      <c r="Q42" s="5">
        <f t="shared" si="30"/>
        <v>0</v>
      </c>
      <c r="R42" s="5">
        <f t="shared" si="30"/>
        <v>0</v>
      </c>
      <c r="S42" s="5">
        <f t="shared" si="30"/>
        <v>0</v>
      </c>
      <c r="T42" s="5">
        <f t="shared" si="30"/>
        <v>0</v>
      </c>
      <c r="U42" s="5">
        <f>IF(U$11&lt;&gt;3,0,(U$21+U36*(1+SUM(U$8:U$9)))/U$2)</f>
        <v>1.6899999999999998E-2</v>
      </c>
    </row>
    <row r="43" spans="2:21" x14ac:dyDescent="0.3">
      <c r="B43" s="13">
        <f t="shared" si="29"/>
        <v>0.02</v>
      </c>
      <c r="C43" s="5">
        <f t="shared" ref="C43:T43" si="31">IF(C$11&lt;&gt;3,0,(C$21+C37*(1+SUM(C$8:C$9)))/C$2)</f>
        <v>0</v>
      </c>
      <c r="D43" s="5">
        <f t="shared" si="31"/>
        <v>0</v>
      </c>
      <c r="E43" s="5">
        <f t="shared" si="31"/>
        <v>0</v>
      </c>
      <c r="F43" s="5">
        <f t="shared" si="31"/>
        <v>0</v>
      </c>
      <c r="G43" s="5">
        <f t="shared" si="31"/>
        <v>0</v>
      </c>
      <c r="H43" s="5">
        <f t="shared" si="31"/>
        <v>0</v>
      </c>
      <c r="I43" s="5">
        <f t="shared" si="31"/>
        <v>0</v>
      </c>
      <c r="J43" s="5">
        <f t="shared" si="31"/>
        <v>0</v>
      </c>
      <c r="K43" s="5">
        <f t="shared" si="31"/>
        <v>0</v>
      </c>
      <c r="L43" s="5">
        <f t="shared" si="31"/>
        <v>0</v>
      </c>
      <c r="M43" s="5">
        <f t="shared" si="31"/>
        <v>0</v>
      </c>
      <c r="N43" s="5">
        <f t="shared" si="31"/>
        <v>0</v>
      </c>
      <c r="O43" s="5">
        <f t="shared" si="31"/>
        <v>0</v>
      </c>
      <c r="P43" s="5">
        <f t="shared" si="31"/>
        <v>0</v>
      </c>
      <c r="Q43" s="5">
        <f t="shared" si="31"/>
        <v>0</v>
      </c>
      <c r="R43" s="5">
        <f t="shared" si="31"/>
        <v>0</v>
      </c>
      <c r="S43" s="5">
        <f t="shared" si="31"/>
        <v>0</v>
      </c>
      <c r="T43" s="5">
        <f t="shared" si="31"/>
        <v>0</v>
      </c>
      <c r="U43" s="5">
        <f>IF(U$11&lt;&gt;3,0,(U$21+U37*(1+SUM(U$8:U$9)))/U$2)</f>
        <v>3.3799999999999997E-2</v>
      </c>
    </row>
    <row r="44" spans="2:21" x14ac:dyDescent="0.3">
      <c r="B44" s="13">
        <f t="shared" si="29"/>
        <v>0.03</v>
      </c>
      <c r="C44" s="5">
        <f t="shared" ref="C44:T44" si="32">IF(C$11&lt;&gt;3,0,(C$21+C38*(1+SUM(C$8:C$9)))/C$2)</f>
        <v>0</v>
      </c>
      <c r="D44" s="5">
        <f t="shared" si="32"/>
        <v>0</v>
      </c>
      <c r="E44" s="5">
        <f t="shared" si="32"/>
        <v>0</v>
      </c>
      <c r="F44" s="5">
        <f t="shared" si="32"/>
        <v>0</v>
      </c>
      <c r="G44" s="5">
        <f t="shared" si="32"/>
        <v>0</v>
      </c>
      <c r="H44" s="5">
        <f t="shared" si="32"/>
        <v>0</v>
      </c>
      <c r="I44" s="5">
        <f t="shared" si="32"/>
        <v>0</v>
      </c>
      <c r="J44" s="5">
        <f t="shared" si="32"/>
        <v>0</v>
      </c>
      <c r="K44" s="5">
        <f t="shared" si="32"/>
        <v>0</v>
      </c>
      <c r="L44" s="5">
        <f t="shared" si="32"/>
        <v>0</v>
      </c>
      <c r="M44" s="5">
        <f t="shared" si="32"/>
        <v>0</v>
      </c>
      <c r="N44" s="5">
        <f t="shared" si="32"/>
        <v>0</v>
      </c>
      <c r="O44" s="5">
        <f t="shared" si="32"/>
        <v>0</v>
      </c>
      <c r="P44" s="5">
        <f t="shared" si="32"/>
        <v>0</v>
      </c>
      <c r="Q44" s="5">
        <f t="shared" si="32"/>
        <v>0</v>
      </c>
      <c r="R44" s="5">
        <f t="shared" si="32"/>
        <v>0</v>
      </c>
      <c r="S44" s="5">
        <f t="shared" si="32"/>
        <v>0</v>
      </c>
      <c r="T44" s="5">
        <f t="shared" si="32"/>
        <v>0</v>
      </c>
      <c r="U44" s="5">
        <f>IF(U$11&lt;&gt;3,0,(U$21+U38*(1+SUM(U$8:U$9)))/U$2)</f>
        <v>5.0700000000000002E-2</v>
      </c>
    </row>
    <row r="45" spans="2:21" x14ac:dyDescent="0.3">
      <c r="B45" s="13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</row>
    <row r="46" spans="2:21" x14ac:dyDescent="0.3">
      <c r="B46" s="13" t="s">
        <v>36</v>
      </c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</row>
    <row r="47" spans="2:21" x14ac:dyDescent="0.3">
      <c r="B47" s="13">
        <f>B35</f>
        <v>5.0000000000000001E-3</v>
      </c>
      <c r="C47" s="5">
        <f t="shared" ref="C47:T47" si="33">IF(C$11&lt;&gt;3,0,C$5+((C35+C$30)/(C$2*C$12)-C$5))</f>
        <v>0</v>
      </c>
      <c r="D47" s="5">
        <f t="shared" si="33"/>
        <v>0</v>
      </c>
      <c r="E47" s="5">
        <f t="shared" si="33"/>
        <v>0</v>
      </c>
      <c r="F47" s="5">
        <f t="shared" si="33"/>
        <v>0</v>
      </c>
      <c r="G47" s="5">
        <f t="shared" si="33"/>
        <v>0</v>
      </c>
      <c r="H47" s="5">
        <f t="shared" si="33"/>
        <v>0</v>
      </c>
      <c r="I47" s="5">
        <f t="shared" si="33"/>
        <v>0</v>
      </c>
      <c r="J47" s="5">
        <f t="shared" si="33"/>
        <v>0</v>
      </c>
      <c r="K47" s="5">
        <f t="shared" si="33"/>
        <v>0</v>
      </c>
      <c r="L47" s="5">
        <f t="shared" si="33"/>
        <v>0</v>
      </c>
      <c r="M47" s="5">
        <f t="shared" si="33"/>
        <v>0</v>
      </c>
      <c r="N47" s="5">
        <f t="shared" si="33"/>
        <v>0</v>
      </c>
      <c r="O47" s="5">
        <f t="shared" si="33"/>
        <v>0</v>
      </c>
      <c r="P47" s="5">
        <f t="shared" si="33"/>
        <v>0</v>
      </c>
      <c r="Q47" s="5">
        <f t="shared" si="33"/>
        <v>0</v>
      </c>
      <c r="R47" s="5">
        <f t="shared" si="33"/>
        <v>0</v>
      </c>
      <c r="S47" s="5">
        <f t="shared" si="33"/>
        <v>0</v>
      </c>
      <c r="T47" s="5">
        <f t="shared" si="33"/>
        <v>0</v>
      </c>
      <c r="U47" s="5">
        <f>IF(U$11&lt;&gt;3,0,U$5+((U35+U$30)/(U$2*U$12)-U$5))</f>
        <v>2.0812500000000001E-2</v>
      </c>
    </row>
    <row r="48" spans="2:21" x14ac:dyDescent="0.3">
      <c r="B48" s="13">
        <f t="shared" ref="B48:B50" si="34">B36</f>
        <v>0.01</v>
      </c>
      <c r="C48" s="5">
        <f t="shared" ref="C48:T48" si="35">IF(C$11&lt;&gt;3,0,C$5+((C36+C$30)/(C$2*C$12)-C$5))</f>
        <v>0</v>
      </c>
      <c r="D48" s="5">
        <f t="shared" si="35"/>
        <v>0</v>
      </c>
      <c r="E48" s="5">
        <f t="shared" si="35"/>
        <v>0</v>
      </c>
      <c r="F48" s="5">
        <f t="shared" si="35"/>
        <v>0</v>
      </c>
      <c r="G48" s="5">
        <f t="shared" si="35"/>
        <v>0</v>
      </c>
      <c r="H48" s="5">
        <f t="shared" si="35"/>
        <v>0</v>
      </c>
      <c r="I48" s="5">
        <f t="shared" si="35"/>
        <v>0</v>
      </c>
      <c r="J48" s="5">
        <f t="shared" si="35"/>
        <v>0</v>
      </c>
      <c r="K48" s="5">
        <f t="shared" si="35"/>
        <v>0</v>
      </c>
      <c r="L48" s="5">
        <f t="shared" si="35"/>
        <v>0</v>
      </c>
      <c r="M48" s="5">
        <f t="shared" si="35"/>
        <v>0</v>
      </c>
      <c r="N48" s="5">
        <f t="shared" si="35"/>
        <v>0</v>
      </c>
      <c r="O48" s="5">
        <f t="shared" si="35"/>
        <v>0</v>
      </c>
      <c r="P48" s="5">
        <f t="shared" si="35"/>
        <v>0</v>
      </c>
      <c r="Q48" s="5">
        <f t="shared" si="35"/>
        <v>0</v>
      </c>
      <c r="R48" s="5">
        <f t="shared" si="35"/>
        <v>0</v>
      </c>
      <c r="S48" s="5">
        <f t="shared" si="35"/>
        <v>0</v>
      </c>
      <c r="T48" s="5">
        <f t="shared" si="35"/>
        <v>0</v>
      </c>
      <c r="U48" s="5">
        <f>IF(U$11&lt;&gt;3,0,U$5+((U36+U$30)/(U$2*U$12)-U$5))</f>
        <v>2.1624999999999998E-2</v>
      </c>
    </row>
    <row r="49" spans="1:21" x14ac:dyDescent="0.3">
      <c r="B49" s="13">
        <f t="shared" si="34"/>
        <v>0.02</v>
      </c>
      <c r="C49" s="5">
        <f t="shared" ref="C49:T49" si="36">IF(C$11&lt;&gt;3,0,C$5+((C37+C$30)/(C$2*C$12)-C$5))</f>
        <v>0</v>
      </c>
      <c r="D49" s="5">
        <f t="shared" si="36"/>
        <v>0</v>
      </c>
      <c r="E49" s="5">
        <f t="shared" si="36"/>
        <v>0</v>
      </c>
      <c r="F49" s="5">
        <f t="shared" si="36"/>
        <v>0</v>
      </c>
      <c r="G49" s="5">
        <f t="shared" si="36"/>
        <v>0</v>
      </c>
      <c r="H49" s="5">
        <f t="shared" si="36"/>
        <v>0</v>
      </c>
      <c r="I49" s="5">
        <f t="shared" si="36"/>
        <v>0</v>
      </c>
      <c r="J49" s="5">
        <f t="shared" si="36"/>
        <v>0</v>
      </c>
      <c r="K49" s="5">
        <f t="shared" si="36"/>
        <v>0</v>
      </c>
      <c r="L49" s="5">
        <f t="shared" si="36"/>
        <v>0</v>
      </c>
      <c r="M49" s="5">
        <f t="shared" si="36"/>
        <v>0</v>
      </c>
      <c r="N49" s="5">
        <f t="shared" si="36"/>
        <v>0</v>
      </c>
      <c r="O49" s="5">
        <f t="shared" si="36"/>
        <v>0</v>
      </c>
      <c r="P49" s="5">
        <f t="shared" si="36"/>
        <v>0</v>
      </c>
      <c r="Q49" s="5">
        <f t="shared" si="36"/>
        <v>0</v>
      </c>
      <c r="R49" s="5">
        <f t="shared" si="36"/>
        <v>0</v>
      </c>
      <c r="S49" s="5">
        <f t="shared" si="36"/>
        <v>0</v>
      </c>
      <c r="T49" s="5">
        <f t="shared" si="36"/>
        <v>0</v>
      </c>
      <c r="U49" s="5">
        <f>IF(U$11&lt;&gt;3,0,U$5+((U37+U$30)/(U$2*U$12)-U$5))</f>
        <v>2.325E-2</v>
      </c>
    </row>
    <row r="50" spans="1:21" x14ac:dyDescent="0.3">
      <c r="B50" s="13">
        <f t="shared" si="34"/>
        <v>0.03</v>
      </c>
      <c r="C50" s="5">
        <f t="shared" ref="C50:T50" si="37">IF(C$11&lt;&gt;3,0,C$5+((C38+C$30)/(C$2*C$12)-C$5))</f>
        <v>0</v>
      </c>
      <c r="D50" s="5">
        <f t="shared" si="37"/>
        <v>0</v>
      </c>
      <c r="E50" s="5">
        <f t="shared" si="37"/>
        <v>0</v>
      </c>
      <c r="F50" s="5">
        <f t="shared" si="37"/>
        <v>0</v>
      </c>
      <c r="G50" s="5">
        <f t="shared" si="37"/>
        <v>0</v>
      </c>
      <c r="H50" s="5">
        <f t="shared" si="37"/>
        <v>0</v>
      </c>
      <c r="I50" s="5">
        <f t="shared" si="37"/>
        <v>0</v>
      </c>
      <c r="J50" s="5">
        <f t="shared" si="37"/>
        <v>0</v>
      </c>
      <c r="K50" s="5">
        <f t="shared" si="37"/>
        <v>0</v>
      </c>
      <c r="L50" s="5">
        <f t="shared" si="37"/>
        <v>0</v>
      </c>
      <c r="M50" s="5">
        <f t="shared" si="37"/>
        <v>0</v>
      </c>
      <c r="N50" s="5">
        <f t="shared" si="37"/>
        <v>0</v>
      </c>
      <c r="O50" s="5">
        <f t="shared" si="37"/>
        <v>0</v>
      </c>
      <c r="P50" s="5">
        <f t="shared" si="37"/>
        <v>0</v>
      </c>
      <c r="Q50" s="5">
        <f t="shared" si="37"/>
        <v>0</v>
      </c>
      <c r="R50" s="5">
        <f t="shared" si="37"/>
        <v>0</v>
      </c>
      <c r="S50" s="5">
        <f t="shared" si="37"/>
        <v>0</v>
      </c>
      <c r="T50" s="5">
        <f t="shared" si="37"/>
        <v>0</v>
      </c>
      <c r="U50" s="5">
        <f>IF(U$11&lt;&gt;3,0,U$5+((U38+U$30)/(U$2*U$12)-U$5))</f>
        <v>2.4875000000000001E-2</v>
      </c>
    </row>
    <row r="51" spans="1:21" x14ac:dyDescent="0.3">
      <c r="B51" s="13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2"/>
    </row>
    <row r="52" spans="1:21" x14ac:dyDescent="0.3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</row>
    <row r="53" spans="1:21" x14ac:dyDescent="0.3">
      <c r="B53" s="12" t="s">
        <v>29</v>
      </c>
    </row>
    <row r="54" spans="1:21" x14ac:dyDescent="0.3">
      <c r="A54" t="s">
        <v>14</v>
      </c>
      <c r="B54" t="s">
        <v>13</v>
      </c>
      <c r="C54" s="3" t="s">
        <v>7</v>
      </c>
      <c r="D54" s="3" t="s">
        <v>7</v>
      </c>
      <c r="E54" s="3" t="s">
        <v>7</v>
      </c>
      <c r="F54" s="3" t="s">
        <v>7</v>
      </c>
      <c r="G54" s="3" t="s">
        <v>7</v>
      </c>
      <c r="H54" s="3" t="s">
        <v>7</v>
      </c>
      <c r="I54" s="3" t="s">
        <v>7</v>
      </c>
      <c r="J54" s="3" t="s">
        <v>7</v>
      </c>
      <c r="K54" s="3" t="s">
        <v>7</v>
      </c>
      <c r="L54" s="3" t="s">
        <v>7</v>
      </c>
      <c r="M54" s="3" t="s">
        <v>7</v>
      </c>
      <c r="N54" s="3" t="s">
        <v>7</v>
      </c>
      <c r="O54" s="3" t="s">
        <v>7</v>
      </c>
      <c r="P54" s="3" t="s">
        <v>7</v>
      </c>
      <c r="Q54" s="3" t="s">
        <v>7</v>
      </c>
      <c r="R54" s="3" t="s">
        <v>7</v>
      </c>
      <c r="S54" s="3" t="s">
        <v>7</v>
      </c>
      <c r="T54" s="3" t="s">
        <v>7</v>
      </c>
      <c r="U54" s="3" t="s">
        <v>7</v>
      </c>
    </row>
    <row r="55" spans="1:21" x14ac:dyDescent="0.3">
      <c r="A55">
        <v>0</v>
      </c>
      <c r="B55" s="1">
        <f>VLOOKUP(A55,dates!A:B,2,0)</f>
        <v>44927</v>
      </c>
      <c r="C55" s="2">
        <f t="shared" ref="C55:J55" si="38">C2</f>
        <v>10000</v>
      </c>
      <c r="D55" s="2">
        <f t="shared" si="38"/>
        <v>10000</v>
      </c>
      <c r="E55" s="2">
        <f t="shared" si="38"/>
        <v>10000</v>
      </c>
      <c r="F55" s="2">
        <f t="shared" si="38"/>
        <v>10000</v>
      </c>
      <c r="G55" s="2">
        <f t="shared" si="38"/>
        <v>10000</v>
      </c>
      <c r="H55" s="2">
        <f t="shared" si="38"/>
        <v>10000</v>
      </c>
      <c r="I55" s="2">
        <f t="shared" si="38"/>
        <v>10000</v>
      </c>
      <c r="J55" s="2">
        <f t="shared" si="38"/>
        <v>10000</v>
      </c>
      <c r="K55" s="2">
        <f t="shared" ref="K55:S55" si="39">K2</f>
        <v>10000</v>
      </c>
      <c r="L55" s="2">
        <f t="shared" si="39"/>
        <v>10000</v>
      </c>
      <c r="M55" s="2">
        <f t="shared" si="39"/>
        <v>10000</v>
      </c>
      <c r="N55" s="2">
        <f t="shared" si="39"/>
        <v>10000</v>
      </c>
      <c r="O55" s="2">
        <f t="shared" si="39"/>
        <v>10000</v>
      </c>
      <c r="P55" s="2">
        <f t="shared" si="39"/>
        <v>10000</v>
      </c>
      <c r="Q55" s="2">
        <f t="shared" si="39"/>
        <v>10000</v>
      </c>
      <c r="R55" s="2">
        <f t="shared" si="39"/>
        <v>10000</v>
      </c>
      <c r="S55" s="2">
        <f t="shared" si="39"/>
        <v>10000</v>
      </c>
      <c r="T55" s="2">
        <f t="shared" ref="T55:U55" si="40">T2</f>
        <v>10000</v>
      </c>
      <c r="U55" s="2">
        <f t="shared" si="40"/>
        <v>10000</v>
      </c>
    </row>
    <row r="56" spans="1:21" x14ac:dyDescent="0.3">
      <c r="A56">
        <v>1</v>
      </c>
      <c r="B56" s="1">
        <f>VLOOKUP(A56,dates!A:B,2,0)</f>
        <v>44958</v>
      </c>
      <c r="C56" s="4">
        <f t="shared" ref="C56:C87" si="41">IF($A56&gt;C$3,0,C55-C308)</f>
        <v>6609.6268749779965</v>
      </c>
      <c r="D56" s="4">
        <f t="shared" ref="D56:D87" si="42">IF($A56&gt;D$3,0,D55-D308)</f>
        <v>8286.6838502802766</v>
      </c>
      <c r="E56" s="4">
        <f t="shared" ref="E56:E87" si="43">IF($A56&gt;E$3,0,E55-E308)</f>
        <v>8845.4231655023796</v>
      </c>
      <c r="F56" s="4">
        <f t="shared" ref="F56:F87" si="44">IF($A56&gt;F$3,0,F55-F308)</f>
        <v>8957.115123707772</v>
      </c>
      <c r="G56" s="4">
        <f t="shared" ref="G56:G87" si="45">IF($A56&gt;G$3,0,G55-G308)</f>
        <v>9124.5832230771484</v>
      </c>
      <c r="H56" s="4">
        <f t="shared" ref="H56:H87" si="46">IF($A56&gt;H$3,0,H55-H308)</f>
        <v>9291.9117536615722</v>
      </c>
      <c r="I56" s="4">
        <f t="shared" ref="I56:I87" si="47">IF($A56&gt;I$3,0,I55-I308)</f>
        <v>9403.3247091263456</v>
      </c>
      <c r="J56" s="4">
        <f t="shared" ref="J56:R87" si="48">IF($A56&gt;J$3,0,J55-J308)</f>
        <v>9542.27797775828</v>
      </c>
      <c r="K56" s="4">
        <f t="shared" si="48"/>
        <v>9680.4012847167251</v>
      </c>
      <c r="L56" s="4">
        <f t="shared" si="48"/>
        <v>6609.6268749779965</v>
      </c>
      <c r="M56" s="4">
        <f t="shared" si="48"/>
        <v>8261.9442538862386</v>
      </c>
      <c r="N56" s="4">
        <f t="shared" si="48"/>
        <v>8812.2750368132365</v>
      </c>
      <c r="O56" s="4">
        <f t="shared" si="48"/>
        <v>8922.2417713488903</v>
      </c>
      <c r="P56" s="4">
        <f t="shared" si="48"/>
        <v>9087.0596791425342</v>
      </c>
      <c r="Q56" s="4">
        <f t="shared" si="48"/>
        <v>9251.6966123766761</v>
      </c>
      <c r="R56" s="4">
        <f t="shared" si="48"/>
        <v>9361.1796556508652</v>
      </c>
      <c r="S56" s="4">
        <f t="shared" ref="S56:T56" si="49">IF($A56&gt;S$3,0,S55-S308)</f>
        <v>9497.579100181134</v>
      </c>
      <c r="T56" s="4">
        <f t="shared" si="49"/>
        <v>9632.5982684249484</v>
      </c>
      <c r="U56" s="4">
        <f t="shared" ref="U56" si="50">IF($A56&gt;U$3,0,U55-U308)</f>
        <v>9216.3822617208298</v>
      </c>
    </row>
    <row r="57" spans="1:21" x14ac:dyDescent="0.3">
      <c r="A57">
        <f t="shared" ref="A57:A115" si="51">A56+1</f>
        <v>2</v>
      </c>
      <c r="B57" s="1">
        <f>VLOOKUP(A57,dates!A:B,2,0)</f>
        <v>44986</v>
      </c>
      <c r="C57" s="4">
        <f t="shared" si="41"/>
        <v>3209.0826305809269</v>
      </c>
      <c r="D57" s="4">
        <f t="shared" si="42"/>
        <v>6568.2277521113947</v>
      </c>
      <c r="E57" s="4">
        <f t="shared" si="43"/>
        <v>7687.3826005012661</v>
      </c>
      <c r="F57" s="4">
        <f t="shared" si="44"/>
        <v>7911.1015927866683</v>
      </c>
      <c r="G57" s="4">
        <f t="shared" si="45"/>
        <v>8246.5401958235288</v>
      </c>
      <c r="H57" s="4">
        <f t="shared" si="46"/>
        <v>8581.699242584129</v>
      </c>
      <c r="I57" s="4">
        <f t="shared" si="47"/>
        <v>8804.8593923800709</v>
      </c>
      <c r="J57" s="4">
        <f t="shared" si="48"/>
        <v>9083.1827894498347</v>
      </c>
      <c r="K57" s="4">
        <f t="shared" si="48"/>
        <v>9359.8437732875991</v>
      </c>
      <c r="L57" s="4">
        <f t="shared" si="48"/>
        <v>3209.0826305809269</v>
      </c>
      <c r="M57" s="4">
        <f t="shared" si="48"/>
        <v>6518.6743405341349</v>
      </c>
      <c r="N57" s="4">
        <f t="shared" si="48"/>
        <v>7620.9868987369136</v>
      </c>
      <c r="O57" s="4">
        <f t="shared" si="48"/>
        <v>7841.2502680118268</v>
      </c>
      <c r="P57" s="4">
        <f t="shared" si="48"/>
        <v>8171.3805373224959</v>
      </c>
      <c r="Q57" s="4">
        <f t="shared" si="48"/>
        <v>8501.1483145904822</v>
      </c>
      <c r="R57" s="4">
        <f t="shared" si="48"/>
        <v>8720.4428502686824</v>
      </c>
      <c r="S57" s="4">
        <f t="shared" ref="S57:T57" si="52">IF($A57&gt;S$3,0,S56-S309)</f>
        <v>8993.650937662811</v>
      </c>
      <c r="T57" s="4">
        <f t="shared" si="52"/>
        <v>9264.0943316551711</v>
      </c>
      <c r="U57" s="4">
        <f t="shared" ref="U57" si="53">IF($A57&gt;U$3,0,U56-U309)</f>
        <v>8430.4136702268224</v>
      </c>
    </row>
    <row r="58" spans="1:21" x14ac:dyDescent="0.3">
      <c r="A58">
        <f t="shared" si="51"/>
        <v>3</v>
      </c>
      <c r="B58" s="1">
        <f>VLOOKUP(A58,dates!A:B,2,0)</f>
        <v>45017</v>
      </c>
      <c r="C58" s="4">
        <f t="shared" si="41"/>
        <v>-201.66324654933396</v>
      </c>
      <c r="D58" s="4">
        <f t="shared" si="42"/>
        <v>4844.6162856480059</v>
      </c>
      <c r="E58" s="4">
        <f t="shared" si="43"/>
        <v>6525.8679138051493</v>
      </c>
      <c r="F58" s="4">
        <f t="shared" si="44"/>
        <v>6861.9500212728008</v>
      </c>
      <c r="G58" s="4">
        <f t="shared" si="45"/>
        <v>7365.8630394881493</v>
      </c>
      <c r="H58" s="4">
        <f t="shared" si="46"/>
        <v>7869.3560939734534</v>
      </c>
      <c r="I58" s="4">
        <f t="shared" si="47"/>
        <v>8204.5986796835568</v>
      </c>
      <c r="J58" s="4">
        <f t="shared" si="48"/>
        <v>8622.7103155764635</v>
      </c>
      <c r="K58" s="4">
        <f t="shared" si="48"/>
        <v>9038.3245893241856</v>
      </c>
      <c r="L58" s="4">
        <f t="shared" si="48"/>
        <v>-201.66324654933396</v>
      </c>
      <c r="M58" s="4">
        <f t="shared" si="48"/>
        <v>4770.174617441975</v>
      </c>
      <c r="N58" s="4">
        <f t="shared" si="48"/>
        <v>6426.1248962463615</v>
      </c>
      <c r="O58" s="4">
        <f t="shared" si="48"/>
        <v>6757.0157901647517</v>
      </c>
      <c r="P58" s="4">
        <f t="shared" si="48"/>
        <v>7252.9543580769978</v>
      </c>
      <c r="Q58" s="4">
        <f t="shared" si="48"/>
        <v>7748.3483719109299</v>
      </c>
      <c r="R58" s="4">
        <f t="shared" si="48"/>
        <v>8077.7838344703532</v>
      </c>
      <c r="S58" s="4">
        <f t="shared" ref="S58:T58" si="54">IF($A58&gt;S$3,0,S57-S310)</f>
        <v>8488.2109906569331</v>
      </c>
      <c r="T58" s="4">
        <f t="shared" si="54"/>
        <v>8894.4848830750852</v>
      </c>
      <c r="U58" s="4">
        <f t="shared" ref="U58" si="55">IF($A58&gt;U$3,0,U57-U310)</f>
        <v>7642.0871729583332</v>
      </c>
    </row>
    <row r="59" spans="1:21" x14ac:dyDescent="0.3">
      <c r="A59">
        <f t="shared" si="51"/>
        <v>4</v>
      </c>
      <c r="B59" s="1">
        <f>VLOOKUP(A59,dates!A:B,2,0)</f>
        <v>45047</v>
      </c>
      <c r="C59" s="4">
        <f t="shared" si="41"/>
        <v>0</v>
      </c>
      <c r="D59" s="4">
        <f t="shared" si="42"/>
        <v>3115.8339847852267</v>
      </c>
      <c r="E59" s="4">
        <f t="shared" si="43"/>
        <v>5360.8686830489441</v>
      </c>
      <c r="F59" s="4">
        <f t="shared" si="44"/>
        <v>5809.6509950443915</v>
      </c>
      <c r="G59" s="4">
        <f t="shared" si="45"/>
        <v>6482.543851683763</v>
      </c>
      <c r="H59" s="4">
        <f t="shared" si="46"/>
        <v>7154.8759159169458</v>
      </c>
      <c r="I59" s="4">
        <f t="shared" si="47"/>
        <v>7602.5371848489531</v>
      </c>
      <c r="J59" s="4">
        <f t="shared" si="48"/>
        <v>8160.8564242814728</v>
      </c>
      <c r="K59" s="4">
        <f t="shared" si="48"/>
        <v>8715.8408478088822</v>
      </c>
      <c r="L59" s="4">
        <f t="shared" si="48"/>
        <v>0</v>
      </c>
      <c r="M59" s="4">
        <f t="shared" si="48"/>
        <v>3016.4293951805384</v>
      </c>
      <c r="N59" s="4">
        <f t="shared" si="48"/>
        <v>5227.6783077483378</v>
      </c>
      <c r="O59" s="4">
        <f t="shared" si="48"/>
        <v>5669.5286088841349</v>
      </c>
      <c r="P59" s="4">
        <f t="shared" si="48"/>
        <v>6331.7729002937631</v>
      </c>
      <c r="Q59" s="4">
        <f t="shared" si="48"/>
        <v>6993.2900294033388</v>
      </c>
      <c r="R59" s="4">
        <f t="shared" si="48"/>
        <v>7433.1968416246291</v>
      </c>
      <c r="S59" s="4">
        <f t="shared" ref="S59:T59" si="56">IF($A59&gt;S$3,0,S58-S311)</f>
        <v>7981.2547238100378</v>
      </c>
      <c r="T59" s="4">
        <f t="shared" si="56"/>
        <v>8523.7666061492582</v>
      </c>
      <c r="U59" s="4">
        <f t="shared" ref="U59" si="57">IF($A59&gt;U$3,0,U58-U311)</f>
        <v>6851.3956961980384</v>
      </c>
    </row>
    <row r="60" spans="1:21" x14ac:dyDescent="0.3">
      <c r="A60">
        <f t="shared" si="51"/>
        <v>5</v>
      </c>
      <c r="B60" s="1">
        <f>VLOOKUP(A60,dates!A:B,2,0)</f>
        <v>45078</v>
      </c>
      <c r="C60" s="4">
        <f t="shared" si="41"/>
        <v>0</v>
      </c>
      <c r="D60" s="4">
        <f t="shared" si="42"/>
        <v>1381.8653370198592</v>
      </c>
      <c r="E60" s="4">
        <f t="shared" si="43"/>
        <v>4192.3744546004709</v>
      </c>
      <c r="F60" s="4">
        <f t="shared" si="44"/>
        <v>4754.1950717372974</v>
      </c>
      <c r="G60" s="4">
        <f t="shared" si="45"/>
        <v>5596.5747063159633</v>
      </c>
      <c r="H60" s="4">
        <f t="shared" si="46"/>
        <v>6438.2522973262694</v>
      </c>
      <c r="I60" s="4">
        <f t="shared" si="47"/>
        <v>6998.669505529846</v>
      </c>
      <c r="J60" s="4">
        <f t="shared" si="48"/>
        <v>7697.6169713125964</v>
      </c>
      <c r="K60" s="4">
        <f t="shared" si="48"/>
        <v>8392.3896550690333</v>
      </c>
      <c r="L60" s="4">
        <f t="shared" si="48"/>
        <v>0</v>
      </c>
      <c r="M60" s="4">
        <f t="shared" si="48"/>
        <v>1257.4229372523178</v>
      </c>
      <c r="N60" s="4">
        <f t="shared" si="48"/>
        <v>4025.6363794848203</v>
      </c>
      <c r="O60" s="4">
        <f t="shared" si="48"/>
        <v>4578.7789660596773</v>
      </c>
      <c r="P60" s="4">
        <f t="shared" si="48"/>
        <v>5407.8278981371786</v>
      </c>
      <c r="Q60" s="4">
        <f t="shared" si="48"/>
        <v>6235.9665118682242</v>
      </c>
      <c r="R60" s="4">
        <f t="shared" si="48"/>
        <v>6786.676087800367</v>
      </c>
      <c r="S60" s="4">
        <f t="shared" ref="S60:T60" si="58">IF($A60&gt;S$3,0,S59-S312)</f>
        <v>7472.7775881626021</v>
      </c>
      <c r="T60" s="4">
        <f t="shared" si="58"/>
        <v>8151.9361743926538</v>
      </c>
      <c r="U60" s="4">
        <f t="shared" ref="U60" si="59">IF($A60&gt;U$3,0,U59-U312)</f>
        <v>6058.3321450074627</v>
      </c>
    </row>
    <row r="61" spans="1:21" x14ac:dyDescent="0.3">
      <c r="A61">
        <f t="shared" si="51"/>
        <v>6</v>
      </c>
      <c r="B61" s="1">
        <f>VLOOKUP(A61,dates!A:B,2,0)</f>
        <v>45108</v>
      </c>
      <c r="C61" s="4">
        <f t="shared" si="41"/>
        <v>0</v>
      </c>
      <c r="D61" s="4">
        <f t="shared" si="42"/>
        <v>-357.30521668880419</v>
      </c>
      <c r="E61" s="4">
        <f t="shared" si="43"/>
        <v>3020.374743466652</v>
      </c>
      <c r="F61" s="4">
        <f t="shared" si="44"/>
        <v>3695.5727806602818</v>
      </c>
      <c r="G61" s="4">
        <f t="shared" si="45"/>
        <v>4707.9476535120602</v>
      </c>
      <c r="H61" s="4">
        <f t="shared" si="46"/>
        <v>5719.4788078798201</v>
      </c>
      <c r="I61" s="4">
        <f t="shared" si="47"/>
        <v>6392.990223172781</v>
      </c>
      <c r="J61" s="4">
        <f t="shared" si="48"/>
        <v>7232.987799984814</v>
      </c>
      <c r="K61" s="4">
        <f t="shared" si="48"/>
        <v>8067.9681087509653</v>
      </c>
      <c r="L61" s="4">
        <f t="shared" si="48"/>
        <v>0</v>
      </c>
      <c r="M61" s="4">
        <f t="shared" si="48"/>
        <v>-506.86054004968764</v>
      </c>
      <c r="N61" s="4">
        <f t="shared" si="48"/>
        <v>2819.9883254365122</v>
      </c>
      <c r="O61" s="4">
        <f t="shared" si="48"/>
        <v>3484.7570743067458</v>
      </c>
      <c r="P61" s="4">
        <f t="shared" si="48"/>
        <v>4481.1110609741245</v>
      </c>
      <c r="Q61" s="4">
        <f t="shared" si="48"/>
        <v>5476.3710237805044</v>
      </c>
      <c r="R61" s="4">
        <f t="shared" si="48"/>
        <v>6138.2157717146329</v>
      </c>
      <c r="S61" s="4">
        <f t="shared" ref="S61:T61" si="60">IF($A61&gt;S$3,0,S60-S313)</f>
        <v>6962.7750211082239</v>
      </c>
      <c r="T61" s="4">
        <f t="shared" si="60"/>
        <v>7778.9902513407797</v>
      </c>
      <c r="U61" s="4">
        <f t="shared" ref="U61" si="61">IF($A61&gt;U$3,0,U60-U313)</f>
        <v>5262.8894031633154</v>
      </c>
    </row>
    <row r="62" spans="1:21" x14ac:dyDescent="0.3">
      <c r="A62">
        <f t="shared" si="51"/>
        <v>7</v>
      </c>
      <c r="B62" s="1">
        <f>VLOOKUP(A62,dates!A:B,2,0)</f>
        <v>45139</v>
      </c>
      <c r="C62" s="4">
        <f t="shared" si="41"/>
        <v>0</v>
      </c>
      <c r="D62" s="4">
        <f t="shared" si="42"/>
        <v>0</v>
      </c>
      <c r="E62" s="4">
        <f t="shared" si="43"/>
        <v>1844.8590331994317</v>
      </c>
      <c r="F62" s="4">
        <f t="shared" si="44"/>
        <v>2633.7746227100351</v>
      </c>
      <c r="G62" s="4">
        <f t="shared" si="45"/>
        <v>3816.654719549746</v>
      </c>
      <c r="H62" s="4">
        <f t="shared" si="46"/>
        <v>4998.548997965032</v>
      </c>
      <c r="I62" s="4">
        <f t="shared" si="47"/>
        <v>5785.4939029686448</v>
      </c>
      <c r="J62" s="4">
        <f t="shared" si="48"/>
        <v>6766.9647411430478</v>
      </c>
      <c r="K62" s="4">
        <f t="shared" si="48"/>
        <v>7742.5732977939424</v>
      </c>
      <c r="L62" s="4">
        <f t="shared" si="48"/>
        <v>0</v>
      </c>
      <c r="M62" s="4">
        <f t="shared" si="48"/>
        <v>0</v>
      </c>
      <c r="N62" s="4">
        <f t="shared" si="48"/>
        <v>1610.7233272260589</v>
      </c>
      <c r="O62" s="4">
        <f t="shared" si="48"/>
        <v>2387.4531168785556</v>
      </c>
      <c r="P62" s="4">
        <f t="shared" si="48"/>
        <v>3551.6140732995809</v>
      </c>
      <c r="Q62" s="4">
        <f t="shared" si="48"/>
        <v>4714.4967492285214</v>
      </c>
      <c r="R62" s="4">
        <f t="shared" si="48"/>
        <v>5487.8100746806413</v>
      </c>
      <c r="S62" s="4">
        <f t="shared" ref="S62:T62" si="62">IF($A62&gt;S$3,0,S61-S314)</f>
        <v>6451.2424463526822</v>
      </c>
      <c r="T62" s="4">
        <f t="shared" si="62"/>
        <v>7404.9254905197495</v>
      </c>
      <c r="U62" s="4">
        <f t="shared" ref="U62" si="63">IF($A62&gt;U$3,0,U61-U314)</f>
        <v>4465.0603330936356</v>
      </c>
    </row>
    <row r="63" spans="1:21" x14ac:dyDescent="0.3">
      <c r="A63">
        <f t="shared" si="51"/>
        <v>8</v>
      </c>
      <c r="B63" s="1">
        <f>VLOOKUP(A63,dates!A:B,2,0)</f>
        <v>45170</v>
      </c>
      <c r="C63" s="4">
        <f t="shared" si="41"/>
        <v>0</v>
      </c>
      <c r="D63" s="4">
        <f t="shared" si="42"/>
        <v>0</v>
      </c>
      <c r="E63" s="4">
        <f t="shared" si="43"/>
        <v>665.81677580140968</v>
      </c>
      <c r="F63" s="4">
        <f t="shared" si="44"/>
        <v>1568.7910702859378</v>
      </c>
      <c r="G63" s="4">
        <f t="shared" si="45"/>
        <v>2922.6879067855443</v>
      </c>
      <c r="H63" s="4">
        <f t="shared" si="46"/>
        <v>4275.4563986204994</v>
      </c>
      <c r="I63" s="4">
        <f t="shared" si="47"/>
        <v>5176.1750938038967</v>
      </c>
      <c r="J63" s="4">
        <f t="shared" si="48"/>
        <v>6299.543613124757</v>
      </c>
      <c r="K63" s="4">
        <f t="shared" si="48"/>
        <v>7416.2023024040491</v>
      </c>
      <c r="L63" s="4">
        <f t="shared" si="48"/>
        <v>0</v>
      </c>
      <c r="M63" s="4">
        <f t="shared" si="48"/>
        <v>0</v>
      </c>
      <c r="N63" s="4">
        <f t="shared" si="48"/>
        <v>397.83053402097448</v>
      </c>
      <c r="O63" s="4">
        <f t="shared" si="48"/>
        <v>1286.8572475780807</v>
      </c>
      <c r="P63" s="4">
        <f t="shared" si="48"/>
        <v>2619.3285946620135</v>
      </c>
      <c r="Q63" s="4">
        <f t="shared" si="48"/>
        <v>3950.3368518528828</v>
      </c>
      <c r="R63" s="4">
        <f t="shared" si="48"/>
        <v>4835.4531605555476</v>
      </c>
      <c r="S63" s="4">
        <f t="shared" ref="S63:T63" si="64">IF($A63&gt;S$3,0,S62-S315)</f>
        <v>5938.1752738728737</v>
      </c>
      <c r="T63" s="4">
        <f t="shared" si="64"/>
        <v>7029.7385354162561</v>
      </c>
      <c r="U63" s="4">
        <f t="shared" ref="U63" si="65">IF($A63&gt;U$3,0,U62-U315)</f>
        <v>3664.8377758137467</v>
      </c>
    </row>
    <row r="64" spans="1:21" x14ac:dyDescent="0.3">
      <c r="A64">
        <f t="shared" si="51"/>
        <v>9</v>
      </c>
      <c r="B64" s="1">
        <f>VLOOKUP(A64,dates!A:B,2,0)</f>
        <v>45200</v>
      </c>
      <c r="C64" s="4">
        <f t="shared" si="41"/>
        <v>0</v>
      </c>
      <c r="D64" s="4">
        <f t="shared" si="42"/>
        <v>0</v>
      </c>
      <c r="E64" s="4">
        <f t="shared" si="43"/>
        <v>-516.76260836880624</v>
      </c>
      <c r="F64" s="4">
        <f t="shared" si="44"/>
        <v>500.61256720456822</v>
      </c>
      <c r="G64" s="4">
        <f t="shared" si="45"/>
        <v>2026.0391935830503</v>
      </c>
      <c r="H64" s="4">
        <f t="shared" si="46"/>
        <v>3550.194521477933</v>
      </c>
      <c r="I64" s="4">
        <f t="shared" si="47"/>
        <v>4565.0283282116543</v>
      </c>
      <c r="J64" s="4">
        <f t="shared" si="48"/>
        <v>5830.7202217224112</v>
      </c>
      <c r="K64" s="4">
        <f t="shared" si="48"/>
        <v>7088.8521940279861</v>
      </c>
      <c r="L64" s="4">
        <f t="shared" si="48"/>
        <v>0</v>
      </c>
      <c r="M64" s="4">
        <f t="shared" si="48"/>
        <v>0</v>
      </c>
      <c r="N64" s="4">
        <f t="shared" si="48"/>
        <v>-818.70093756372557</v>
      </c>
      <c r="O64" s="4">
        <f t="shared" si="48"/>
        <v>182.95959066970454</v>
      </c>
      <c r="P64" s="4">
        <f t="shared" si="48"/>
        <v>1684.2462595885336</v>
      </c>
      <c r="Q64" s="4">
        <f t="shared" si="48"/>
        <v>3183.8844747851172</v>
      </c>
      <c r="R64" s="4">
        <f t="shared" si="48"/>
        <v>4181.1391756880785</v>
      </c>
      <c r="S64" s="4">
        <f t="shared" ref="S64:T64" si="66">IF($A64&gt;S$3,0,S63-S316)</f>
        <v>5423.5688998756259</v>
      </c>
      <c r="T64" s="4">
        <f t="shared" si="66"/>
        <v>6653.4260194474527</v>
      </c>
      <c r="U64" s="4">
        <f t="shared" ref="U64" si="67">IF($A64&gt;U$3,0,U63-U316)</f>
        <v>2862.2145508620183</v>
      </c>
    </row>
    <row r="65" spans="1:21" x14ac:dyDescent="0.3">
      <c r="A65">
        <f t="shared" si="51"/>
        <v>10</v>
      </c>
      <c r="B65" s="1">
        <f>VLOOKUP(A65,dates!A:B,2,0)</f>
        <v>45231</v>
      </c>
      <c r="C65" s="4">
        <f t="shared" si="41"/>
        <v>0</v>
      </c>
      <c r="D65" s="4">
        <f t="shared" si="42"/>
        <v>0</v>
      </c>
      <c r="E65" s="4">
        <f t="shared" si="43"/>
        <v>0</v>
      </c>
      <c r="F65" s="4">
        <f t="shared" si="44"/>
        <v>-570.77047138604553</v>
      </c>
      <c r="G65" s="4">
        <f t="shared" si="45"/>
        <v>1126.7005342409489</v>
      </c>
      <c r="H65" s="4">
        <f t="shared" si="46"/>
        <v>2822.7568587039391</v>
      </c>
      <c r="I65" s="4">
        <f t="shared" si="47"/>
        <v>3952.0481223226352</v>
      </c>
      <c r="J65" s="4">
        <f t="shared" si="48"/>
        <v>5360.4903601458582</v>
      </c>
      <c r="K65" s="4">
        <f t="shared" si="48"/>
        <v>6760.5200353267946</v>
      </c>
      <c r="L65" s="4">
        <f t="shared" si="48"/>
        <v>0</v>
      </c>
      <c r="M65" s="4">
        <f t="shared" si="48"/>
        <v>0</v>
      </c>
      <c r="N65" s="4">
        <f t="shared" si="48"/>
        <v>0</v>
      </c>
      <c r="O65" s="4">
        <f t="shared" si="48"/>
        <v>-924.24975920939687</v>
      </c>
      <c r="P65" s="4">
        <f t="shared" si="48"/>
        <v>746.35867750983323</v>
      </c>
      <c r="Q65" s="4">
        <f t="shared" si="48"/>
        <v>2415.1327405861484</v>
      </c>
      <c r="R65" s="4">
        <f t="shared" si="48"/>
        <v>3524.8622488660071</v>
      </c>
      <c r="S65" s="4">
        <f t="shared" ref="S65:T65" si="68">IF($A65&gt;S$3,0,S64-S317)</f>
        <v>4907.4187067563862</v>
      </c>
      <c r="T65" s="4">
        <f t="shared" si="68"/>
        <v>6275.984565930743</v>
      </c>
      <c r="U65" s="4">
        <f t="shared" ref="U65" si="69">IF($A65&gt;U$3,0,U64-U317)</f>
        <v>2057.1834562354347</v>
      </c>
    </row>
    <row r="66" spans="1:21" x14ac:dyDescent="0.3">
      <c r="A66">
        <f t="shared" si="51"/>
        <v>11</v>
      </c>
      <c r="B66" s="1">
        <f>VLOOKUP(A66,dates!A:B,2,0)</f>
        <v>45261</v>
      </c>
      <c r="C66" s="4">
        <f t="shared" si="41"/>
        <v>0</v>
      </c>
      <c r="D66" s="4">
        <f t="shared" si="42"/>
        <v>0</v>
      </c>
      <c r="E66" s="4">
        <f t="shared" si="43"/>
        <v>0</v>
      </c>
      <c r="F66" s="4">
        <f t="shared" si="44"/>
        <v>0</v>
      </c>
      <c r="G66" s="4">
        <f t="shared" si="45"/>
        <v>224.66385892082099</v>
      </c>
      <c r="H66" s="4">
        <f t="shared" si="46"/>
        <v>2093.1368829416233</v>
      </c>
      <c r="I66" s="4">
        <f t="shared" si="47"/>
        <v>3337.2289758159491</v>
      </c>
      <c r="J66" s="4">
        <f t="shared" si="48"/>
        <v>4888.8498089845752</v>
      </c>
      <c r="K66" s="4">
        <f t="shared" si="48"/>
        <v>6431.2028801494998</v>
      </c>
      <c r="L66" s="4">
        <f t="shared" si="48"/>
        <v>0</v>
      </c>
      <c r="M66" s="4">
        <f t="shared" si="48"/>
        <v>0</v>
      </c>
      <c r="N66" s="4">
        <f t="shared" si="48"/>
        <v>0</v>
      </c>
      <c r="O66" s="4">
        <f t="shared" si="48"/>
        <v>0</v>
      </c>
      <c r="P66" s="4">
        <f t="shared" si="48"/>
        <v>-194.34256731510322</v>
      </c>
      <c r="Q66" s="4">
        <f t="shared" si="48"/>
        <v>1644.0747511845827</v>
      </c>
      <c r="R66" s="4">
        <f t="shared" si="48"/>
        <v>2866.6164912634695</v>
      </c>
      <c r="S66" s="4">
        <f t="shared" ref="S66:T66" si="70">IF($A66&gt;S$3,0,S65-S318)</f>
        <v>4389.720063057789</v>
      </c>
      <c r="T66" s="4">
        <f t="shared" si="70"/>
        <v>5897.410788053483</v>
      </c>
      <c r="U66" s="4">
        <f t="shared" ref="U66" si="71">IF($A66&gt;U$3,0,U65-U318)</f>
        <v>1249.7372683249714</v>
      </c>
    </row>
    <row r="67" spans="1:21" x14ac:dyDescent="0.3">
      <c r="A67">
        <f t="shared" si="51"/>
        <v>12</v>
      </c>
      <c r="B67" s="1">
        <f>VLOOKUP(A67,dates!A:B,2,0)</f>
        <v>45292</v>
      </c>
      <c r="C67" s="4">
        <f t="shared" si="41"/>
        <v>0</v>
      </c>
      <c r="D67" s="4">
        <f t="shared" si="42"/>
        <v>0</v>
      </c>
      <c r="E67" s="4">
        <f t="shared" si="43"/>
        <v>0</v>
      </c>
      <c r="F67" s="4">
        <f t="shared" si="44"/>
        <v>0</v>
      </c>
      <c r="G67" s="4">
        <f t="shared" si="45"/>
        <v>-680.07892642526713</v>
      </c>
      <c r="H67" s="4">
        <f t="shared" si="46"/>
        <v>1361.3280472520205</v>
      </c>
      <c r="I67" s="4">
        <f t="shared" si="47"/>
        <v>2720.5653718697426</v>
      </c>
      <c r="J67" s="4">
        <f t="shared" si="48"/>
        <v>4415.794336169809</v>
      </c>
      <c r="K67" s="4">
        <f t="shared" si="48"/>
        <v>6100.8977735066728</v>
      </c>
      <c r="L67" s="4">
        <f t="shared" si="48"/>
        <v>0</v>
      </c>
      <c r="M67" s="4">
        <f t="shared" si="48"/>
        <v>0</v>
      </c>
      <c r="N67" s="4">
        <f t="shared" si="48"/>
        <v>0</v>
      </c>
      <c r="O67" s="4">
        <f t="shared" si="48"/>
        <v>0</v>
      </c>
      <c r="P67" s="4">
        <f t="shared" si="48"/>
        <v>-1137.8659158745145</v>
      </c>
      <c r="Q67" s="4">
        <f t="shared" si="48"/>
        <v>870.70358781481241</v>
      </c>
      <c r="R67" s="4">
        <f t="shared" si="48"/>
        <v>2206.3959963881243</v>
      </c>
      <c r="S67" s="4">
        <f t="shared" ref="S67:T67" si="72">IF($A67&gt;S$3,0,S66-S319)</f>
        <v>3870.4683234280965</v>
      </c>
      <c r="T67" s="4">
        <f t="shared" si="72"/>
        <v>5517.7012888425916</v>
      </c>
      <c r="U67" s="4">
        <f t="shared" ref="U67" si="73">IF($A67&gt;U$3,0,U66-U319)</f>
        <v>439.8687418507767</v>
      </c>
    </row>
    <row r="68" spans="1:21" x14ac:dyDescent="0.3">
      <c r="A68">
        <f t="shared" si="51"/>
        <v>13</v>
      </c>
      <c r="B68" s="1">
        <f>VLOOKUP(A68,dates!A:B,2,0)</f>
        <v>45323</v>
      </c>
      <c r="C68" s="4">
        <f t="shared" si="41"/>
        <v>0</v>
      </c>
      <c r="D68" s="4">
        <f t="shared" si="42"/>
        <v>0</v>
      </c>
      <c r="E68" s="4">
        <f t="shared" si="43"/>
        <v>0</v>
      </c>
      <c r="F68" s="4">
        <f t="shared" si="44"/>
        <v>0</v>
      </c>
      <c r="G68" s="4">
        <f t="shared" si="45"/>
        <v>0</v>
      </c>
      <c r="H68" s="4">
        <f t="shared" si="46"/>
        <v>627.32378505534882</v>
      </c>
      <c r="I68" s="4">
        <f t="shared" si="47"/>
        <v>2102.0517771116974</v>
      </c>
      <c r="J68" s="4">
        <f t="shared" si="48"/>
        <v>3941.3196969365981</v>
      </c>
      <c r="K68" s="4">
        <f t="shared" si="48"/>
        <v>5769.6017515439171</v>
      </c>
      <c r="L68" s="4">
        <f t="shared" si="48"/>
        <v>0</v>
      </c>
      <c r="M68" s="4">
        <f t="shared" si="48"/>
        <v>0</v>
      </c>
      <c r="N68" s="4">
        <f t="shared" si="48"/>
        <v>0</v>
      </c>
      <c r="O68" s="4">
        <f t="shared" si="48"/>
        <v>0</v>
      </c>
      <c r="P68" s="4">
        <f t="shared" si="48"/>
        <v>0</v>
      </c>
      <c r="Q68" s="4">
        <f t="shared" si="48"/>
        <v>95.012310954932673</v>
      </c>
      <c r="R68" s="4">
        <f t="shared" si="48"/>
        <v>1544.1948400281531</v>
      </c>
      <c r="S68" s="4">
        <f t="shared" ref="S68:T68" si="74">IF($A68&gt;S$3,0,S67-S320)</f>
        <v>3349.6588285795146</v>
      </c>
      <c r="T68" s="4">
        <f t="shared" si="74"/>
        <v>5136.8526611340667</v>
      </c>
      <c r="U68" s="4">
        <f t="shared" ref="U68" si="75">IF($A68&gt;U$3,0,U67-U320)</f>
        <v>-372.42939020284052</v>
      </c>
    </row>
    <row r="69" spans="1:21" x14ac:dyDescent="0.3">
      <c r="A69">
        <f t="shared" si="51"/>
        <v>14</v>
      </c>
      <c r="B69" s="1">
        <f>VLOOKUP(A69,dates!A:B,2,0)</f>
        <v>45352</v>
      </c>
      <c r="C69" s="4">
        <f t="shared" si="41"/>
        <v>0</v>
      </c>
      <c r="D69" s="4">
        <f t="shared" si="42"/>
        <v>0</v>
      </c>
      <c r="E69" s="4">
        <f t="shared" si="43"/>
        <v>0</v>
      </c>
      <c r="F69" s="4">
        <f t="shared" si="44"/>
        <v>0</v>
      </c>
      <c r="G69" s="4">
        <f t="shared" si="45"/>
        <v>0</v>
      </c>
      <c r="H69" s="4">
        <f t="shared" si="46"/>
        <v>-108.88248992791273</v>
      </c>
      <c r="I69" s="4">
        <f t="shared" si="47"/>
        <v>1481.6826415693781</v>
      </c>
      <c r="J69" s="4">
        <f t="shared" si="48"/>
        <v>3465.4216337856874</v>
      </c>
      <c r="K69" s="4">
        <f t="shared" si="48"/>
        <v>5437.311841515273</v>
      </c>
      <c r="L69" s="4">
        <f t="shared" si="48"/>
        <v>0</v>
      </c>
      <c r="M69" s="4">
        <f t="shared" si="48"/>
        <v>0</v>
      </c>
      <c r="N69" s="4">
        <f t="shared" si="48"/>
        <v>0</v>
      </c>
      <c r="O69" s="4">
        <f t="shared" si="48"/>
        <v>0</v>
      </c>
      <c r="P69" s="4">
        <f t="shared" si="48"/>
        <v>0</v>
      </c>
      <c r="Q69" s="4">
        <f t="shared" si="48"/>
        <v>-683.00603973552666</v>
      </c>
      <c r="R69" s="4">
        <f t="shared" si="48"/>
        <v>880.00708019910201</v>
      </c>
      <c r="S69" s="4">
        <f t="shared" ref="S69:T69" si="76">IF($A69&gt;S$3,0,S68-S321)</f>
        <v>2827.2869052463871</v>
      </c>
      <c r="T69" s="4">
        <f t="shared" si="76"/>
        <v>4754.8614875424164</v>
      </c>
      <c r="U69" s="4">
        <f t="shared" ref="U69" si="77">IF($A69&gt;U$3,0,U68-U321)</f>
        <v>-1187.1644166526189</v>
      </c>
    </row>
    <row r="70" spans="1:21" x14ac:dyDescent="0.3">
      <c r="A70">
        <f t="shared" si="51"/>
        <v>15</v>
      </c>
      <c r="B70" s="1">
        <f>VLOOKUP(A70,dates!A:B,2,0)</f>
        <v>45383</v>
      </c>
      <c r="C70" s="4">
        <f t="shared" si="41"/>
        <v>0</v>
      </c>
      <c r="D70" s="4">
        <f t="shared" si="42"/>
        <v>0</v>
      </c>
      <c r="E70" s="4">
        <f t="shared" si="43"/>
        <v>0</v>
      </c>
      <c r="F70" s="4">
        <f t="shared" si="44"/>
        <v>0</v>
      </c>
      <c r="G70" s="4">
        <f t="shared" si="45"/>
        <v>0</v>
      </c>
      <c r="H70" s="4">
        <f t="shared" si="46"/>
        <v>-847.29738373612406</v>
      </c>
      <c r="I70" s="4">
        <f t="shared" si="47"/>
        <v>859.45239862043206</v>
      </c>
      <c r="J70" s="4">
        <f t="shared" si="48"/>
        <v>2988.0958764453239</v>
      </c>
      <c r="K70" s="4">
        <f t="shared" si="48"/>
        <v>5104.0250617565434</v>
      </c>
      <c r="L70" s="4">
        <f t="shared" si="48"/>
        <v>0</v>
      </c>
      <c r="M70" s="4">
        <f t="shared" si="48"/>
        <v>0</v>
      </c>
      <c r="N70" s="4">
        <f t="shared" si="48"/>
        <v>0</v>
      </c>
      <c r="O70" s="4">
        <f t="shared" si="48"/>
        <v>0</v>
      </c>
      <c r="P70" s="4">
        <f t="shared" si="48"/>
        <v>0</v>
      </c>
      <c r="Q70" s="4">
        <f t="shared" si="48"/>
        <v>-1463.3584454780573</v>
      </c>
      <c r="R70" s="4">
        <f t="shared" si="48"/>
        <v>213.82675709056366</v>
      </c>
      <c r="S70" s="4">
        <f t="shared" ref="S70:T70" si="78">IF($A70&gt;S$3,0,S69-S322)</f>
        <v>2303.34786614326</v>
      </c>
      <c r="T70" s="4">
        <f t="shared" si="78"/>
        <v>4371.7243404299916</v>
      </c>
      <c r="U70" s="4">
        <f t="shared" ref="U70" si="79">IF($A70&gt;U$3,0,U69-U322)</f>
        <v>-2004.3436481817466</v>
      </c>
    </row>
    <row r="71" spans="1:21" x14ac:dyDescent="0.3">
      <c r="A71">
        <f t="shared" si="51"/>
        <v>16</v>
      </c>
      <c r="B71" s="1">
        <f>VLOOKUP(A71,dates!A:B,2,0)</f>
        <v>45413</v>
      </c>
      <c r="C71" s="4">
        <f t="shared" si="41"/>
        <v>0</v>
      </c>
      <c r="D71" s="4">
        <f t="shared" si="42"/>
        <v>0</v>
      </c>
      <c r="E71" s="4">
        <f t="shared" si="43"/>
        <v>0</v>
      </c>
      <c r="F71" s="4">
        <f t="shared" si="44"/>
        <v>0</v>
      </c>
      <c r="G71" s="4">
        <f t="shared" si="45"/>
        <v>0</v>
      </c>
      <c r="H71" s="4">
        <f t="shared" si="46"/>
        <v>0</v>
      </c>
      <c r="I71" s="4">
        <f t="shared" si="47"/>
        <v>235.35546494263917</v>
      </c>
      <c r="J71" s="4">
        <f t="shared" si="48"/>
        <v>2509.3381418329395</v>
      </c>
      <c r="K71" s="4">
        <f t="shared" si="48"/>
        <v>4769.7384216585378</v>
      </c>
      <c r="L71" s="4">
        <f t="shared" si="48"/>
        <v>0</v>
      </c>
      <c r="M71" s="4">
        <f t="shared" si="48"/>
        <v>0</v>
      </c>
      <c r="N71" s="4">
        <f t="shared" si="48"/>
        <v>0</v>
      </c>
      <c r="O71" s="4">
        <f t="shared" si="48"/>
        <v>0</v>
      </c>
      <c r="P71" s="4">
        <f t="shared" si="48"/>
        <v>0</v>
      </c>
      <c r="Q71" s="4">
        <f t="shared" si="48"/>
        <v>0</v>
      </c>
      <c r="R71" s="4">
        <f t="shared" si="48"/>
        <v>-454.35210698730009</v>
      </c>
      <c r="S71" s="4">
        <f t="shared" ref="S71:T71" si="80">IF($A71&gt;S$3,0,S70-S323)</f>
        <v>1777.8370099228237</v>
      </c>
      <c r="T71" s="4">
        <f t="shared" si="80"/>
        <v>3987.4377818762291</v>
      </c>
      <c r="U71" s="4">
        <f t="shared" ref="U71" si="81">IF($A71&gt;U$3,0,U70-U323)</f>
        <v>0</v>
      </c>
    </row>
    <row r="72" spans="1:21" x14ac:dyDescent="0.3">
      <c r="A72">
        <f t="shared" si="51"/>
        <v>17</v>
      </c>
      <c r="B72" s="1">
        <f>VLOOKUP(A72,dates!A:B,2,0)</f>
        <v>45444</v>
      </c>
      <c r="C72" s="4">
        <f t="shared" si="41"/>
        <v>0</v>
      </c>
      <c r="D72" s="4">
        <f t="shared" si="42"/>
        <v>0</v>
      </c>
      <c r="E72" s="4">
        <f t="shared" si="43"/>
        <v>0</v>
      </c>
      <c r="F72" s="4">
        <f t="shared" si="44"/>
        <v>0</v>
      </c>
      <c r="G72" s="4">
        <f t="shared" si="45"/>
        <v>0</v>
      </c>
      <c r="H72" s="4">
        <f t="shared" si="46"/>
        <v>0</v>
      </c>
      <c r="I72" s="4">
        <f t="shared" si="47"/>
        <v>-390.6137595361871</v>
      </c>
      <c r="J72" s="4">
        <f t="shared" si="48"/>
        <v>2029.144134016718</v>
      </c>
      <c r="K72" s="4">
        <f t="shared" si="48"/>
        <v>4434.448921640238</v>
      </c>
      <c r="L72" s="4">
        <f t="shared" si="48"/>
        <v>0</v>
      </c>
      <c r="M72" s="4">
        <f t="shared" si="48"/>
        <v>0</v>
      </c>
      <c r="N72" s="4">
        <f t="shared" si="48"/>
        <v>0</v>
      </c>
      <c r="O72" s="4">
        <f t="shared" si="48"/>
        <v>0</v>
      </c>
      <c r="P72" s="4">
        <f t="shared" si="48"/>
        <v>0</v>
      </c>
      <c r="Q72" s="4">
        <f t="shared" si="48"/>
        <v>0</v>
      </c>
      <c r="R72" s="4">
        <f t="shared" si="48"/>
        <v>-1124.5355076573976</v>
      </c>
      <c r="S72" s="4">
        <f t="shared" ref="S72:T72" si="82">IF($A72&gt;S$3,0,S71-S324)</f>
        <v>1250.7496211337261</v>
      </c>
      <c r="T72" s="4">
        <f t="shared" si="82"/>
        <v>3601.9983636468055</v>
      </c>
      <c r="U72" s="4">
        <f t="shared" ref="U72" si="83">IF($A72&gt;U$3,0,U71-U324)</f>
        <v>0</v>
      </c>
    </row>
    <row r="73" spans="1:21" x14ac:dyDescent="0.3">
      <c r="A73">
        <f t="shared" si="51"/>
        <v>18</v>
      </c>
      <c r="B73" s="1">
        <f>VLOOKUP(A73,dates!A:B,2,0)</f>
        <v>45474</v>
      </c>
      <c r="C73" s="4">
        <f t="shared" si="41"/>
        <v>0</v>
      </c>
      <c r="D73" s="4">
        <f t="shared" si="42"/>
        <v>0</v>
      </c>
      <c r="E73" s="4">
        <f t="shared" si="43"/>
        <v>0</v>
      </c>
      <c r="F73" s="4">
        <f t="shared" si="44"/>
        <v>0</v>
      </c>
      <c r="G73" s="4">
        <f t="shared" si="45"/>
        <v>0</v>
      </c>
      <c r="H73" s="4">
        <f t="shared" si="46"/>
        <v>0</v>
      </c>
      <c r="I73" s="4">
        <f t="shared" si="47"/>
        <v>-1018.4608916884499</v>
      </c>
      <c r="J73" s="4">
        <f t="shared" si="48"/>
        <v>1547.5095441770477</v>
      </c>
      <c r="K73" s="4">
        <f t="shared" si="48"/>
        <v>4098.1535531218833</v>
      </c>
      <c r="L73" s="4">
        <f t="shared" si="48"/>
        <v>0</v>
      </c>
      <c r="M73" s="4">
        <f t="shared" si="48"/>
        <v>0</v>
      </c>
      <c r="N73" s="4">
        <f t="shared" si="48"/>
        <v>0</v>
      </c>
      <c r="O73" s="4">
        <f t="shared" si="48"/>
        <v>0</v>
      </c>
      <c r="P73" s="4">
        <f t="shared" si="48"/>
        <v>0</v>
      </c>
      <c r="Q73" s="4">
        <f t="shared" si="48"/>
        <v>0</v>
      </c>
      <c r="R73" s="4">
        <f t="shared" si="48"/>
        <v>-1796.7294585295053</v>
      </c>
      <c r="S73" s="4">
        <f t="shared" ref="S73:T73" si="84">IF($A73&gt;S$3,0,S72-S325)</f>
        <v>722.08097017826128</v>
      </c>
      <c r="T73" s="4">
        <f t="shared" si="84"/>
        <v>3215.4026271626935</v>
      </c>
      <c r="U73" s="4">
        <f t="shared" ref="U73" si="85">IF($A73&gt;U$3,0,U72-U325)</f>
        <v>0</v>
      </c>
    </row>
    <row r="74" spans="1:21" x14ac:dyDescent="0.3">
      <c r="A74">
        <f t="shared" si="51"/>
        <v>19</v>
      </c>
      <c r="B74" s="1">
        <f>VLOOKUP(A74,dates!A:B,2,0)</f>
        <v>45505</v>
      </c>
      <c r="C74" s="4">
        <f t="shared" si="41"/>
        <v>0</v>
      </c>
      <c r="D74" s="4">
        <f t="shared" si="42"/>
        <v>0</v>
      </c>
      <c r="E74" s="4">
        <f t="shared" si="43"/>
        <v>0</v>
      </c>
      <c r="F74" s="4">
        <f t="shared" si="44"/>
        <v>0</v>
      </c>
      <c r="G74" s="4">
        <f t="shared" si="45"/>
        <v>0</v>
      </c>
      <c r="H74" s="4">
        <f t="shared" si="46"/>
        <v>0</v>
      </c>
      <c r="I74" s="4">
        <f t="shared" si="47"/>
        <v>0</v>
      </c>
      <c r="J74" s="4">
        <f t="shared" si="48"/>
        <v>1064.4300505678584</v>
      </c>
      <c r="K74" s="4">
        <f t="shared" si="48"/>
        <v>3760.8492984979735</v>
      </c>
      <c r="L74" s="4">
        <f t="shared" si="48"/>
        <v>0</v>
      </c>
      <c r="M74" s="4">
        <f t="shared" si="48"/>
        <v>0</v>
      </c>
      <c r="N74" s="4">
        <f t="shared" si="48"/>
        <v>0</v>
      </c>
      <c r="O74" s="4">
        <f t="shared" si="48"/>
        <v>0</v>
      </c>
      <c r="P74" s="4">
        <f t="shared" si="48"/>
        <v>0</v>
      </c>
      <c r="Q74" s="4">
        <f t="shared" si="48"/>
        <v>0</v>
      </c>
      <c r="R74" s="4">
        <f t="shared" si="48"/>
        <v>0</v>
      </c>
      <c r="S74" s="4">
        <f t="shared" ref="S74:T74" si="86">IF($A74&gt;S$3,0,S73-S326)</f>
        <v>191.82631326992987</v>
      </c>
      <c r="T74" s="4">
        <f t="shared" si="86"/>
        <v>2827.6471034691294</v>
      </c>
      <c r="U74" s="4">
        <f t="shared" ref="U74" si="87">IF($A74&gt;U$3,0,U73-U326)</f>
        <v>0</v>
      </c>
    </row>
    <row r="75" spans="1:21" x14ac:dyDescent="0.3">
      <c r="A75">
        <f t="shared" si="51"/>
        <v>20</v>
      </c>
      <c r="B75" s="1">
        <f>VLOOKUP(A75,dates!A:B,2,0)</f>
        <v>45536</v>
      </c>
      <c r="C75" s="4">
        <f t="shared" si="41"/>
        <v>0</v>
      </c>
      <c r="D75" s="4">
        <f t="shared" si="42"/>
        <v>0</v>
      </c>
      <c r="E75" s="4">
        <f t="shared" si="43"/>
        <v>0</v>
      </c>
      <c r="F75" s="4">
        <f t="shared" si="44"/>
        <v>0</v>
      </c>
      <c r="G75" s="4">
        <f t="shared" si="45"/>
        <v>0</v>
      </c>
      <c r="H75" s="4">
        <f t="shared" si="46"/>
        <v>0</v>
      </c>
      <c r="I75" s="4">
        <f t="shared" si="47"/>
        <v>0</v>
      </c>
      <c r="J75" s="4">
        <f t="shared" si="48"/>
        <v>579.90131847784153</v>
      </c>
      <c r="K75" s="4">
        <f t="shared" si="48"/>
        <v>3422.5331311101918</v>
      </c>
      <c r="L75" s="4">
        <f t="shared" si="48"/>
        <v>0</v>
      </c>
      <c r="M75" s="4">
        <f t="shared" si="48"/>
        <v>0</v>
      </c>
      <c r="N75" s="4">
        <f t="shared" si="48"/>
        <v>0</v>
      </c>
      <c r="O75" s="4">
        <f t="shared" si="48"/>
        <v>0</v>
      </c>
      <c r="P75" s="4">
        <f t="shared" si="48"/>
        <v>0</v>
      </c>
      <c r="Q75" s="4">
        <f t="shared" si="48"/>
        <v>0</v>
      </c>
      <c r="R75" s="4">
        <f t="shared" si="48"/>
        <v>0</v>
      </c>
      <c r="S75" s="4">
        <f t="shared" ref="S75:T75" si="88">IF($A75&gt;S$3,0,S74-S327)</f>
        <v>-340.01910760912654</v>
      </c>
      <c r="T75" s="4">
        <f t="shared" si="88"/>
        <v>2438.7283132044845</v>
      </c>
      <c r="U75" s="4">
        <f t="shared" ref="U75" si="89">IF($A75&gt;U$3,0,U74-U327)</f>
        <v>0</v>
      </c>
    </row>
    <row r="76" spans="1:21" x14ac:dyDescent="0.3">
      <c r="A76">
        <f t="shared" si="51"/>
        <v>21</v>
      </c>
      <c r="B76" s="1">
        <f>VLOOKUP(A76,dates!A:B,2,0)</f>
        <v>45566</v>
      </c>
      <c r="C76" s="4">
        <f t="shared" si="41"/>
        <v>0</v>
      </c>
      <c r="D76" s="4">
        <f t="shared" si="42"/>
        <v>0</v>
      </c>
      <c r="E76" s="4">
        <f t="shared" si="43"/>
        <v>0</v>
      </c>
      <c r="F76" s="4">
        <f t="shared" si="44"/>
        <v>0</v>
      </c>
      <c r="G76" s="4">
        <f t="shared" si="45"/>
        <v>0</v>
      </c>
      <c r="H76" s="4">
        <f t="shared" si="46"/>
        <v>0</v>
      </c>
      <c r="I76" s="4">
        <f t="shared" si="47"/>
        <v>0</v>
      </c>
      <c r="J76" s="4">
        <f t="shared" si="48"/>
        <v>93.919000191554574</v>
      </c>
      <c r="K76" s="4">
        <f t="shared" si="48"/>
        <v>3083.2020152202467</v>
      </c>
      <c r="L76" s="4">
        <f t="shared" si="48"/>
        <v>0</v>
      </c>
      <c r="M76" s="4">
        <f t="shared" si="48"/>
        <v>0</v>
      </c>
      <c r="N76" s="4">
        <f t="shared" si="48"/>
        <v>0</v>
      </c>
      <c r="O76" s="4">
        <f t="shared" si="48"/>
        <v>0</v>
      </c>
      <c r="P76" s="4">
        <f t="shared" si="48"/>
        <v>0</v>
      </c>
      <c r="Q76" s="4">
        <f t="shared" si="48"/>
        <v>0</v>
      </c>
      <c r="R76" s="4">
        <f t="shared" si="48"/>
        <v>0</v>
      </c>
      <c r="S76" s="4">
        <f t="shared" ref="S76:T76" si="90">IF($A76&gt;S$3,0,S75-S328)</f>
        <v>-873.46006475082004</v>
      </c>
      <c r="T76" s="4">
        <f t="shared" si="90"/>
        <v>2048.6427665690458</v>
      </c>
      <c r="U76" s="4">
        <f t="shared" ref="U76" si="91">IF($A76&gt;U$3,0,U75-U328)</f>
        <v>0</v>
      </c>
    </row>
    <row r="77" spans="1:21" x14ac:dyDescent="0.3">
      <c r="A77">
        <f t="shared" si="51"/>
        <v>22</v>
      </c>
      <c r="B77" s="1">
        <f>VLOOKUP(A77,dates!A:B,2,0)</f>
        <v>45597</v>
      </c>
      <c r="C77" s="4">
        <f t="shared" si="41"/>
        <v>0</v>
      </c>
      <c r="D77" s="4">
        <f t="shared" si="42"/>
        <v>0</v>
      </c>
      <c r="E77" s="4">
        <f t="shared" si="43"/>
        <v>0</v>
      </c>
      <c r="F77" s="4">
        <f t="shared" si="44"/>
        <v>0</v>
      </c>
      <c r="G77" s="4">
        <f t="shared" si="45"/>
        <v>0</v>
      </c>
      <c r="H77" s="4">
        <f t="shared" si="46"/>
        <v>0</v>
      </c>
      <c r="I77" s="4">
        <f t="shared" si="47"/>
        <v>0</v>
      </c>
      <c r="J77" s="4">
        <f t="shared" si="48"/>
        <v>-393.52126504959119</v>
      </c>
      <c r="K77" s="4">
        <f t="shared" si="48"/>
        <v>2742.8529059826319</v>
      </c>
      <c r="L77" s="4">
        <f t="shared" si="48"/>
        <v>0</v>
      </c>
      <c r="M77" s="4">
        <f t="shared" si="48"/>
        <v>0</v>
      </c>
      <c r="N77" s="4">
        <f t="shared" si="48"/>
        <v>0</v>
      </c>
      <c r="O77" s="4">
        <f t="shared" si="48"/>
        <v>0</v>
      </c>
      <c r="P77" s="4">
        <f t="shared" si="48"/>
        <v>0</v>
      </c>
      <c r="Q77" s="4">
        <f t="shared" si="48"/>
        <v>0</v>
      </c>
      <c r="R77" s="4">
        <f t="shared" si="48"/>
        <v>0</v>
      </c>
      <c r="S77" s="4">
        <f t="shared" ref="S77:T77" si="92">IF($A77&gt;S$3,0,S76-S329)</f>
        <v>-1408.5013447639385</v>
      </c>
      <c r="T77" s="4">
        <f t="shared" si="92"/>
        <v>1657.3869632937008</v>
      </c>
      <c r="U77" s="4">
        <f t="shared" ref="U77" si="93">IF($A77&gt;U$3,0,U76-U329)</f>
        <v>0</v>
      </c>
    </row>
    <row r="78" spans="1:21" x14ac:dyDescent="0.3">
      <c r="A78">
        <f t="shared" si="51"/>
        <v>23</v>
      </c>
      <c r="B78" s="1">
        <f>VLOOKUP(A78,dates!A:B,2,0)</f>
        <v>45627</v>
      </c>
      <c r="C78" s="4">
        <f t="shared" si="41"/>
        <v>0</v>
      </c>
      <c r="D78" s="4">
        <f t="shared" si="42"/>
        <v>0</v>
      </c>
      <c r="E78" s="4">
        <f t="shared" si="43"/>
        <v>0</v>
      </c>
      <c r="F78" s="4">
        <f t="shared" si="44"/>
        <v>0</v>
      </c>
      <c r="G78" s="4">
        <f t="shared" si="45"/>
        <v>0</v>
      </c>
      <c r="H78" s="4">
        <f t="shared" si="46"/>
        <v>0</v>
      </c>
      <c r="I78" s="4">
        <f t="shared" si="47"/>
        <v>0</v>
      </c>
      <c r="J78" s="4">
        <f t="shared" si="48"/>
        <v>-882.42385108646045</v>
      </c>
      <c r="K78" s="4">
        <f t="shared" si="48"/>
        <v>2401.4827494173041</v>
      </c>
      <c r="L78" s="4">
        <f t="shared" si="48"/>
        <v>0</v>
      </c>
      <c r="M78" s="4">
        <f t="shared" si="48"/>
        <v>0</v>
      </c>
      <c r="N78" s="4">
        <f t="shared" si="48"/>
        <v>0</v>
      </c>
      <c r="O78" s="4">
        <f t="shared" si="48"/>
        <v>0</v>
      </c>
      <c r="P78" s="4">
        <f t="shared" si="48"/>
        <v>0</v>
      </c>
      <c r="Q78" s="4">
        <f t="shared" si="48"/>
        <v>0</v>
      </c>
      <c r="R78" s="4">
        <f t="shared" si="48"/>
        <v>0</v>
      </c>
      <c r="S78" s="4">
        <f t="shared" ref="S78:T78" si="94">IF($A78&gt;S$3,0,S77-S330)</f>
        <v>-1945.1477486170966</v>
      </c>
      <c r="T78" s="4">
        <f t="shared" si="94"/>
        <v>1264.9573926085297</v>
      </c>
      <c r="U78" s="4">
        <f t="shared" ref="U78" si="95">IF($A78&gt;U$3,0,U77-U330)</f>
        <v>0</v>
      </c>
    </row>
    <row r="79" spans="1:21" x14ac:dyDescent="0.3">
      <c r="A79">
        <f t="shared" si="51"/>
        <v>24</v>
      </c>
      <c r="B79" s="1">
        <f>VLOOKUP(A79,dates!A:B,2,0)</f>
        <v>45658</v>
      </c>
      <c r="C79" s="4">
        <f t="shared" si="41"/>
        <v>0</v>
      </c>
      <c r="D79" s="4">
        <f t="shared" si="42"/>
        <v>0</v>
      </c>
      <c r="E79" s="4">
        <f t="shared" si="43"/>
        <v>0</v>
      </c>
      <c r="F79" s="4">
        <f t="shared" si="44"/>
        <v>0</v>
      </c>
      <c r="G79" s="4">
        <f t="shared" si="45"/>
        <v>0</v>
      </c>
      <c r="H79" s="4">
        <f t="shared" si="46"/>
        <v>0</v>
      </c>
      <c r="I79" s="4">
        <f t="shared" si="47"/>
        <v>0</v>
      </c>
      <c r="J79" s="4">
        <f t="shared" si="48"/>
        <v>-1372.7931448814402</v>
      </c>
      <c r="K79" s="4">
        <f t="shared" si="48"/>
        <v>2059.0884823822807</v>
      </c>
      <c r="L79" s="4">
        <f t="shared" si="48"/>
        <v>0</v>
      </c>
      <c r="M79" s="4">
        <f t="shared" si="48"/>
        <v>0</v>
      </c>
      <c r="N79" s="4">
        <f t="shared" si="48"/>
        <v>0</v>
      </c>
      <c r="O79" s="4">
        <f t="shared" si="48"/>
        <v>0</v>
      </c>
      <c r="P79" s="4">
        <f t="shared" si="48"/>
        <v>0</v>
      </c>
      <c r="Q79" s="4">
        <f t="shared" si="48"/>
        <v>0</v>
      </c>
      <c r="R79" s="4">
        <f t="shared" si="48"/>
        <v>0</v>
      </c>
      <c r="S79" s="4">
        <f t="shared" ref="S79:T79" si="96">IF($A79&gt;S$3,0,S78-S331)</f>
        <v>-2483.404091681814</v>
      </c>
      <c r="T79" s="4">
        <f t="shared" si="96"/>
        <v>871.35053321130317</v>
      </c>
      <c r="U79" s="4">
        <f t="shared" ref="U79" si="97">IF($A79&gt;U$3,0,U78-U331)</f>
        <v>0</v>
      </c>
    </row>
    <row r="80" spans="1:21" x14ac:dyDescent="0.3">
      <c r="A80">
        <f t="shared" si="51"/>
        <v>25</v>
      </c>
      <c r="B80" s="1">
        <f>VLOOKUP(A80,dates!A:B,2,0)</f>
        <v>45689</v>
      </c>
      <c r="C80" s="4">
        <f t="shared" si="41"/>
        <v>0</v>
      </c>
      <c r="D80" s="4">
        <f t="shared" si="42"/>
        <v>0</v>
      </c>
      <c r="E80" s="4">
        <f t="shared" si="43"/>
        <v>0</v>
      </c>
      <c r="F80" s="4">
        <f t="shared" si="44"/>
        <v>0</v>
      </c>
      <c r="G80" s="4">
        <f t="shared" si="45"/>
        <v>0</v>
      </c>
      <c r="H80" s="4">
        <f t="shared" si="46"/>
        <v>0</v>
      </c>
      <c r="I80" s="4">
        <f t="shared" si="47"/>
        <v>0</v>
      </c>
      <c r="J80" s="4">
        <f t="shared" si="48"/>
        <v>0</v>
      </c>
      <c r="K80" s="4">
        <f t="shared" si="48"/>
        <v>1715.6670325461521</v>
      </c>
      <c r="L80" s="4">
        <f t="shared" si="48"/>
        <v>0</v>
      </c>
      <c r="M80" s="4">
        <f t="shared" si="48"/>
        <v>0</v>
      </c>
      <c r="N80" s="4">
        <f t="shared" si="48"/>
        <v>0</v>
      </c>
      <c r="O80" s="4">
        <f t="shared" si="48"/>
        <v>0</v>
      </c>
      <c r="P80" s="4">
        <f t="shared" si="48"/>
        <v>0</v>
      </c>
      <c r="Q80" s="4">
        <f t="shared" si="48"/>
        <v>0</v>
      </c>
      <c r="R80" s="4">
        <f t="shared" si="48"/>
        <v>0</v>
      </c>
      <c r="S80" s="4">
        <f t="shared" ref="S80:T80" si="98">IF($A80&gt;S$3,0,S79-S332)</f>
        <v>0</v>
      </c>
      <c r="T80" s="4">
        <f t="shared" si="98"/>
        <v>476.5628532358848</v>
      </c>
      <c r="U80" s="4">
        <f t="shared" ref="U80" si="99">IF($A80&gt;U$3,0,U79-U332)</f>
        <v>0</v>
      </c>
    </row>
    <row r="81" spans="1:21" x14ac:dyDescent="0.3">
      <c r="A81">
        <f t="shared" si="51"/>
        <v>26</v>
      </c>
      <c r="B81" s="1">
        <f>VLOOKUP(A81,dates!A:B,2,0)</f>
        <v>45717</v>
      </c>
      <c r="C81" s="4">
        <f t="shared" si="41"/>
        <v>0</v>
      </c>
      <c r="D81" s="4">
        <f t="shared" si="42"/>
        <v>0</v>
      </c>
      <c r="E81" s="4">
        <f t="shared" si="43"/>
        <v>0</v>
      </c>
      <c r="F81" s="4">
        <f t="shared" si="44"/>
        <v>0</v>
      </c>
      <c r="G81" s="4">
        <f t="shared" si="45"/>
        <v>0</v>
      </c>
      <c r="H81" s="4">
        <f t="shared" si="46"/>
        <v>0</v>
      </c>
      <c r="I81" s="4">
        <f t="shared" si="47"/>
        <v>0</v>
      </c>
      <c r="J81" s="4">
        <f t="shared" si="48"/>
        <v>0</v>
      </c>
      <c r="K81" s="4">
        <f t="shared" si="48"/>
        <v>1371.2153183605151</v>
      </c>
      <c r="L81" s="4">
        <f t="shared" si="48"/>
        <v>0</v>
      </c>
      <c r="M81" s="4">
        <f t="shared" si="48"/>
        <v>0</v>
      </c>
      <c r="N81" s="4">
        <f t="shared" si="48"/>
        <v>0</v>
      </c>
      <c r="O81" s="4">
        <f t="shared" si="48"/>
        <v>0</v>
      </c>
      <c r="P81" s="4">
        <f t="shared" si="48"/>
        <v>0</v>
      </c>
      <c r="Q81" s="4">
        <f t="shared" si="48"/>
        <v>0</v>
      </c>
      <c r="R81" s="4">
        <f t="shared" si="48"/>
        <v>0</v>
      </c>
      <c r="S81" s="4">
        <f t="shared" ref="S81:T81" si="100">IF($A81&gt;S$3,0,S80-S333)</f>
        <v>0</v>
      </c>
      <c r="T81" s="4">
        <f t="shared" si="100"/>
        <v>80.59081022054022</v>
      </c>
      <c r="U81" s="4">
        <f t="shared" ref="U81" si="101">IF($A81&gt;U$3,0,U80-U333)</f>
        <v>0</v>
      </c>
    </row>
    <row r="82" spans="1:21" x14ac:dyDescent="0.3">
      <c r="A82">
        <f t="shared" si="51"/>
        <v>27</v>
      </c>
      <c r="B82" s="1">
        <f>VLOOKUP(A82,dates!A:B,2,0)</f>
        <v>45748</v>
      </c>
      <c r="C82" s="4">
        <f t="shared" si="41"/>
        <v>0</v>
      </c>
      <c r="D82" s="4">
        <f t="shared" si="42"/>
        <v>0</v>
      </c>
      <c r="E82" s="4">
        <f t="shared" si="43"/>
        <v>0</v>
      </c>
      <c r="F82" s="4">
        <f t="shared" si="44"/>
        <v>0</v>
      </c>
      <c r="G82" s="4">
        <f t="shared" si="45"/>
        <v>0</v>
      </c>
      <c r="H82" s="4">
        <f t="shared" si="46"/>
        <v>0</v>
      </c>
      <c r="I82" s="4">
        <f t="shared" si="47"/>
        <v>0</v>
      </c>
      <c r="J82" s="4">
        <f t="shared" si="48"/>
        <v>0</v>
      </c>
      <c r="K82" s="4">
        <f t="shared" si="48"/>
        <v>1025.7302490323211</v>
      </c>
      <c r="L82" s="4">
        <f t="shared" si="48"/>
        <v>0</v>
      </c>
      <c r="M82" s="4">
        <f t="shared" si="48"/>
        <v>0</v>
      </c>
      <c r="N82" s="4">
        <f t="shared" si="48"/>
        <v>0</v>
      </c>
      <c r="O82" s="4">
        <f t="shared" si="48"/>
        <v>0</v>
      </c>
      <c r="P82" s="4">
        <f t="shared" si="48"/>
        <v>0</v>
      </c>
      <c r="Q82" s="4">
        <f t="shared" si="48"/>
        <v>0</v>
      </c>
      <c r="R82" s="4">
        <f t="shared" si="48"/>
        <v>0</v>
      </c>
      <c r="S82" s="4">
        <f t="shared" ref="S82:T87" si="102">IF($A82&gt;S$3,0,S81-S334)</f>
        <v>0</v>
      </c>
      <c r="T82" s="4">
        <f t="shared" si="102"/>
        <v>-316.56914892385038</v>
      </c>
      <c r="U82" s="4">
        <f t="shared" ref="U82" si="103">IF($A82&gt;U$3,0,U81-U334)</f>
        <v>0</v>
      </c>
    </row>
    <row r="83" spans="1:21" x14ac:dyDescent="0.3">
      <c r="A83">
        <f t="shared" si="51"/>
        <v>28</v>
      </c>
      <c r="B83" s="1">
        <f>VLOOKUP(A83,dates!A:B,2,0)</f>
        <v>45778</v>
      </c>
      <c r="C83" s="4">
        <f t="shared" si="41"/>
        <v>0</v>
      </c>
      <c r="D83" s="4">
        <f t="shared" si="42"/>
        <v>0</v>
      </c>
      <c r="E83" s="4">
        <f t="shared" si="43"/>
        <v>0</v>
      </c>
      <c r="F83" s="4">
        <f t="shared" si="44"/>
        <v>0</v>
      </c>
      <c r="G83" s="4">
        <f t="shared" si="45"/>
        <v>0</v>
      </c>
      <c r="H83" s="4">
        <f t="shared" si="46"/>
        <v>0</v>
      </c>
      <c r="I83" s="4">
        <f t="shared" si="47"/>
        <v>0</v>
      </c>
      <c r="J83" s="4">
        <f t="shared" si="48"/>
        <v>0</v>
      </c>
      <c r="K83" s="4">
        <f t="shared" si="48"/>
        <v>679.20872449614262</v>
      </c>
      <c r="L83" s="4">
        <f t="shared" si="48"/>
        <v>0</v>
      </c>
      <c r="M83" s="4">
        <f t="shared" si="48"/>
        <v>0</v>
      </c>
      <c r="N83" s="4">
        <f t="shared" ref="N83:T98" si="104">IF($A83&gt;N$3,0,N82-N335)</f>
        <v>0</v>
      </c>
      <c r="O83" s="4">
        <f t="shared" si="104"/>
        <v>0</v>
      </c>
      <c r="P83" s="4">
        <f t="shared" si="104"/>
        <v>0</v>
      </c>
      <c r="Q83" s="4">
        <f t="shared" si="104"/>
        <v>0</v>
      </c>
      <c r="R83" s="4">
        <f t="shared" si="104"/>
        <v>0</v>
      </c>
      <c r="S83" s="4">
        <f t="shared" si="102"/>
        <v>0</v>
      </c>
      <c r="T83" s="4">
        <f t="shared" si="102"/>
        <v>-714.92058794567413</v>
      </c>
      <c r="U83" s="4">
        <f t="shared" ref="U83" si="105">IF($A83&gt;U$3,0,U82-U335)</f>
        <v>0</v>
      </c>
    </row>
    <row r="84" spans="1:21" x14ac:dyDescent="0.3">
      <c r="A84">
        <f t="shared" si="51"/>
        <v>29</v>
      </c>
      <c r="B84" s="1">
        <f>VLOOKUP(A84,dates!A:B,2,0)</f>
        <v>45809</v>
      </c>
      <c r="C84" s="4">
        <f t="shared" si="41"/>
        <v>0</v>
      </c>
      <c r="D84" s="4">
        <f t="shared" si="42"/>
        <v>0</v>
      </c>
      <c r="E84" s="4">
        <f t="shared" si="43"/>
        <v>0</v>
      </c>
      <c r="F84" s="4">
        <f t="shared" si="44"/>
        <v>0</v>
      </c>
      <c r="G84" s="4">
        <f t="shared" si="45"/>
        <v>0</v>
      </c>
      <c r="H84" s="4">
        <f t="shared" si="46"/>
        <v>0</v>
      </c>
      <c r="I84" s="4">
        <f t="shared" si="47"/>
        <v>0</v>
      </c>
      <c r="J84" s="4">
        <f t="shared" si="48"/>
        <v>0</v>
      </c>
      <c r="K84" s="4">
        <f t="shared" si="48"/>
        <v>331.6476353863556</v>
      </c>
      <c r="L84" s="4">
        <f t="shared" ref="L84:T99" si="106">IF($A84&gt;L$3,0,L83-L336)</f>
        <v>0</v>
      </c>
      <c r="M84" s="4">
        <f t="shared" si="106"/>
        <v>0</v>
      </c>
      <c r="N84" s="4">
        <f t="shared" si="104"/>
        <v>0</v>
      </c>
      <c r="O84" s="4">
        <f t="shared" si="104"/>
        <v>0</v>
      </c>
      <c r="P84" s="4">
        <f t="shared" si="104"/>
        <v>0</v>
      </c>
      <c r="Q84" s="4">
        <f t="shared" si="104"/>
        <v>0</v>
      </c>
      <c r="R84" s="4">
        <f t="shared" si="104"/>
        <v>0</v>
      </c>
      <c r="S84" s="4">
        <f t="shared" si="102"/>
        <v>0</v>
      </c>
      <c r="T84" s="4">
        <f t="shared" si="102"/>
        <v>-1114.4670812845634</v>
      </c>
      <c r="U84" s="4">
        <f t="shared" ref="U84" si="107">IF($A84&gt;U$3,0,U83-U336)</f>
        <v>0</v>
      </c>
    </row>
    <row r="85" spans="1:21" x14ac:dyDescent="0.3">
      <c r="A85">
        <f t="shared" si="51"/>
        <v>30</v>
      </c>
      <c r="B85" s="1">
        <f>VLOOKUP(A85,dates!A:B,2,0)</f>
        <v>45839</v>
      </c>
      <c r="C85" s="4">
        <f t="shared" si="41"/>
        <v>0</v>
      </c>
      <c r="D85" s="4">
        <f t="shared" si="42"/>
        <v>0</v>
      </c>
      <c r="E85" s="4">
        <f t="shared" si="43"/>
        <v>0</v>
      </c>
      <c r="F85" s="4">
        <f t="shared" si="44"/>
        <v>0</v>
      </c>
      <c r="G85" s="4">
        <f t="shared" si="45"/>
        <v>0</v>
      </c>
      <c r="H85" s="4">
        <f t="shared" si="46"/>
        <v>0</v>
      </c>
      <c r="I85" s="4">
        <f t="shared" si="47"/>
        <v>0</v>
      </c>
      <c r="J85" s="4">
        <f t="shared" si="48"/>
        <v>0</v>
      </c>
      <c r="K85" s="4">
        <f t="shared" si="48"/>
        <v>-16.956136990760797</v>
      </c>
      <c r="L85" s="4">
        <f t="shared" si="106"/>
        <v>0</v>
      </c>
      <c r="M85" s="4">
        <f t="shared" si="106"/>
        <v>0</v>
      </c>
      <c r="N85" s="4">
        <f t="shared" si="104"/>
        <v>0</v>
      </c>
      <c r="O85" s="4">
        <f t="shared" si="104"/>
        <v>0</v>
      </c>
      <c r="P85" s="4">
        <f t="shared" si="104"/>
        <v>0</v>
      </c>
      <c r="Q85" s="4">
        <f t="shared" si="104"/>
        <v>0</v>
      </c>
      <c r="R85" s="4">
        <f t="shared" si="104"/>
        <v>0</v>
      </c>
      <c r="S85" s="4">
        <f t="shared" si="102"/>
        <v>0</v>
      </c>
      <c r="T85" s="4">
        <f t="shared" si="102"/>
        <v>-1515.2122141034693</v>
      </c>
      <c r="U85" s="4">
        <f t="shared" ref="U85" si="108">IF($A85&gt;U$3,0,U84-U337)</f>
        <v>0</v>
      </c>
    </row>
    <row r="86" spans="1:21" x14ac:dyDescent="0.3">
      <c r="A86">
        <f t="shared" si="51"/>
        <v>31</v>
      </c>
      <c r="B86" s="1">
        <f>VLOOKUP(A86,dates!A:B,2,0)</f>
        <v>45870</v>
      </c>
      <c r="C86" s="4">
        <f t="shared" si="41"/>
        <v>0</v>
      </c>
      <c r="D86" s="4">
        <f t="shared" si="42"/>
        <v>0</v>
      </c>
      <c r="E86" s="4">
        <f t="shared" si="43"/>
        <v>0</v>
      </c>
      <c r="F86" s="4">
        <f t="shared" si="44"/>
        <v>0</v>
      </c>
      <c r="G86" s="4">
        <f t="shared" si="45"/>
        <v>0</v>
      </c>
      <c r="H86" s="4">
        <f t="shared" si="46"/>
        <v>0</v>
      </c>
      <c r="I86" s="4">
        <f t="shared" si="47"/>
        <v>0</v>
      </c>
      <c r="J86" s="4">
        <f t="shared" si="48"/>
        <v>0</v>
      </c>
      <c r="K86" s="4">
        <f t="shared" si="48"/>
        <v>-366.60572068500852</v>
      </c>
      <c r="L86" s="4">
        <f t="shared" si="106"/>
        <v>0</v>
      </c>
      <c r="M86" s="4">
        <f t="shared" si="106"/>
        <v>0</v>
      </c>
      <c r="N86" s="4">
        <f t="shared" si="104"/>
        <v>0</v>
      </c>
      <c r="O86" s="4">
        <f t="shared" si="104"/>
        <v>0</v>
      </c>
      <c r="P86" s="4">
        <f t="shared" si="104"/>
        <v>0</v>
      </c>
      <c r="Q86" s="4">
        <f t="shared" si="104"/>
        <v>0</v>
      </c>
      <c r="R86" s="4">
        <f t="shared" si="104"/>
        <v>0</v>
      </c>
      <c r="S86" s="4">
        <f t="shared" si="102"/>
        <v>0</v>
      </c>
      <c r="T86" s="4">
        <f t="shared" si="102"/>
        <v>-1917.159582320832</v>
      </c>
      <c r="U86" s="4">
        <f t="shared" ref="U86" si="109">IF($A86&gt;U$3,0,U85-U338)</f>
        <v>0</v>
      </c>
    </row>
    <row r="87" spans="1:21" x14ac:dyDescent="0.3">
      <c r="A87">
        <f t="shared" si="51"/>
        <v>32</v>
      </c>
      <c r="B87" s="1">
        <f>VLOOKUP(A87,dates!A:B,2,0)</f>
        <v>45901</v>
      </c>
      <c r="C87" s="4">
        <f t="shared" si="41"/>
        <v>0</v>
      </c>
      <c r="D87" s="4">
        <f t="shared" si="42"/>
        <v>0</v>
      </c>
      <c r="E87" s="4">
        <f t="shared" si="43"/>
        <v>0</v>
      </c>
      <c r="F87" s="4">
        <f t="shared" si="44"/>
        <v>0</v>
      </c>
      <c r="G87" s="4">
        <f t="shared" si="45"/>
        <v>0</v>
      </c>
      <c r="H87" s="4">
        <f t="shared" si="46"/>
        <v>0</v>
      </c>
      <c r="I87" s="4">
        <f t="shared" si="47"/>
        <v>0</v>
      </c>
      <c r="J87" s="4">
        <f t="shared" si="48"/>
        <v>0</v>
      </c>
      <c r="K87" s="4">
        <f t="shared" si="48"/>
        <v>-717.30425313033902</v>
      </c>
      <c r="L87" s="4">
        <f t="shared" si="106"/>
        <v>0</v>
      </c>
      <c r="M87" s="4">
        <f t="shared" si="106"/>
        <v>0</v>
      </c>
      <c r="N87" s="4">
        <f t="shared" si="104"/>
        <v>0</v>
      </c>
      <c r="O87" s="4">
        <f t="shared" si="104"/>
        <v>0</v>
      </c>
      <c r="P87" s="4">
        <f t="shared" si="104"/>
        <v>0</v>
      </c>
      <c r="Q87" s="4">
        <f t="shared" si="104"/>
        <v>0</v>
      </c>
      <c r="R87" s="4">
        <f t="shared" si="104"/>
        <v>0</v>
      </c>
      <c r="S87" s="4">
        <f t="shared" si="102"/>
        <v>0</v>
      </c>
      <c r="T87" s="4">
        <f t="shared" si="102"/>
        <v>-2320.3127926428465</v>
      </c>
      <c r="U87" s="4">
        <f t="shared" ref="U87" si="110">IF($A87&gt;U$3,0,U86-U339)</f>
        <v>0</v>
      </c>
    </row>
    <row r="88" spans="1:21" x14ac:dyDescent="0.3">
      <c r="A88">
        <f t="shared" si="51"/>
        <v>33</v>
      </c>
      <c r="B88" s="1">
        <f>VLOOKUP(A88,dates!A:B,2,0)</f>
        <v>45931</v>
      </c>
      <c r="C88" s="4">
        <f t="shared" ref="C88:C115" si="111">IF($A88&gt;C$3,0,C87-C340)</f>
        <v>0</v>
      </c>
      <c r="D88" s="4">
        <f t="shared" ref="D88:D115" si="112">IF($A88&gt;D$3,0,D87-D340)</f>
        <v>0</v>
      </c>
      <c r="E88" s="4">
        <f t="shared" ref="E88:E115" si="113">IF($A88&gt;E$3,0,E87-E340)</f>
        <v>0</v>
      </c>
      <c r="F88" s="4">
        <f t="shared" ref="F88:F115" si="114">IF($A88&gt;F$3,0,F87-F340)</f>
        <v>0</v>
      </c>
      <c r="G88" s="4">
        <f t="shared" ref="G88:G115" si="115">IF($A88&gt;G$3,0,G87-G340)</f>
        <v>0</v>
      </c>
      <c r="H88" s="4">
        <f t="shared" ref="H88:H115" si="116">IF($A88&gt;H$3,0,H87-H340)</f>
        <v>0</v>
      </c>
      <c r="I88" s="4">
        <f t="shared" ref="I88:I115" si="117">IF($A88&gt;I$3,0,I87-I340)</f>
        <v>0</v>
      </c>
      <c r="J88" s="4">
        <f t="shared" ref="J88:R115" si="118">IF($A88&gt;J$3,0,J87-J340)</f>
        <v>0</v>
      </c>
      <c r="K88" s="4">
        <f t="shared" si="118"/>
        <v>-1069.0548811730055</v>
      </c>
      <c r="L88" s="4">
        <f t="shared" si="106"/>
        <v>0</v>
      </c>
      <c r="M88" s="4">
        <f t="shared" si="106"/>
        <v>0</v>
      </c>
      <c r="N88" s="4">
        <f t="shared" si="104"/>
        <v>0</v>
      </c>
      <c r="O88" s="4">
        <f t="shared" si="104"/>
        <v>0</v>
      </c>
      <c r="P88" s="4">
        <f t="shared" si="104"/>
        <v>0</v>
      </c>
      <c r="Q88" s="4">
        <f t="shared" si="104"/>
        <v>0</v>
      </c>
      <c r="R88" s="4">
        <f t="shared" si="104"/>
        <v>0</v>
      </c>
      <c r="S88" s="4">
        <f t="shared" si="104"/>
        <v>0</v>
      </c>
      <c r="T88" s="4">
        <f t="shared" si="104"/>
        <v>-2724.6754625958274</v>
      </c>
      <c r="U88" s="4">
        <f t="shared" ref="U88" si="119">IF($A88&gt;U$3,0,U87-U340)</f>
        <v>0</v>
      </c>
    </row>
    <row r="89" spans="1:21" x14ac:dyDescent="0.3">
      <c r="A89">
        <f t="shared" si="51"/>
        <v>34</v>
      </c>
      <c r="B89" s="1">
        <f>VLOOKUP(A89,dates!A:B,2,0)</f>
        <v>45962</v>
      </c>
      <c r="C89" s="4">
        <f t="shared" si="111"/>
        <v>0</v>
      </c>
      <c r="D89" s="4">
        <f t="shared" si="112"/>
        <v>0</v>
      </c>
      <c r="E89" s="4">
        <f t="shared" si="113"/>
        <v>0</v>
      </c>
      <c r="F89" s="4">
        <f t="shared" si="114"/>
        <v>0</v>
      </c>
      <c r="G89" s="4">
        <f t="shared" si="115"/>
        <v>0</v>
      </c>
      <c r="H89" s="4">
        <f t="shared" si="116"/>
        <v>0</v>
      </c>
      <c r="I89" s="4">
        <f t="shared" si="117"/>
        <v>0</v>
      </c>
      <c r="J89" s="4">
        <f t="shared" si="118"/>
        <v>0</v>
      </c>
      <c r="K89" s="4">
        <f t="shared" si="118"/>
        <v>-1421.8607610997999</v>
      </c>
      <c r="L89" s="4">
        <f t="shared" si="106"/>
        <v>0</v>
      </c>
      <c r="M89" s="4">
        <f t="shared" si="106"/>
        <v>0</v>
      </c>
      <c r="N89" s="4">
        <f t="shared" si="104"/>
        <v>0</v>
      </c>
      <c r="O89" s="4">
        <f t="shared" si="104"/>
        <v>0</v>
      </c>
      <c r="P89" s="4">
        <f t="shared" si="104"/>
        <v>0</v>
      </c>
      <c r="Q89" s="4">
        <f t="shared" si="104"/>
        <v>0</v>
      </c>
      <c r="R89" s="4">
        <f t="shared" si="104"/>
        <v>0</v>
      </c>
      <c r="S89" s="4">
        <f t="shared" si="104"/>
        <v>0</v>
      </c>
      <c r="T89" s="4">
        <f t="shared" si="104"/>
        <v>-3130.2512205586672</v>
      </c>
      <c r="U89" s="4">
        <f t="shared" ref="U89" si="120">IF($A89&gt;U$3,0,U88-U341)</f>
        <v>0</v>
      </c>
    </row>
    <row r="90" spans="1:21" x14ac:dyDescent="0.3">
      <c r="A90">
        <f t="shared" si="51"/>
        <v>35</v>
      </c>
      <c r="B90" s="1">
        <f>VLOOKUP(A90,dates!A:B,2,0)</f>
        <v>45992</v>
      </c>
      <c r="C90" s="4">
        <f t="shared" si="111"/>
        <v>0</v>
      </c>
      <c r="D90" s="4">
        <f t="shared" si="112"/>
        <v>0</v>
      </c>
      <c r="E90" s="4">
        <f t="shared" si="113"/>
        <v>0</v>
      </c>
      <c r="F90" s="4">
        <f t="shared" si="114"/>
        <v>0</v>
      </c>
      <c r="G90" s="4">
        <f t="shared" si="115"/>
        <v>0</v>
      </c>
      <c r="H90" s="4">
        <f t="shared" si="116"/>
        <v>0</v>
      </c>
      <c r="I90" s="4">
        <f t="shared" si="117"/>
        <v>0</v>
      </c>
      <c r="J90" s="4">
        <f t="shared" si="118"/>
        <v>0</v>
      </c>
      <c r="K90" s="4">
        <f t="shared" si="118"/>
        <v>-1775.7250586663747</v>
      </c>
      <c r="L90" s="4">
        <f t="shared" si="106"/>
        <v>0</v>
      </c>
      <c r="M90" s="4">
        <f t="shared" si="106"/>
        <v>0</v>
      </c>
      <c r="N90" s="4">
        <f t="shared" si="104"/>
        <v>0</v>
      </c>
      <c r="O90" s="4">
        <f t="shared" si="104"/>
        <v>0</v>
      </c>
      <c r="P90" s="4">
        <f t="shared" si="104"/>
        <v>0</v>
      </c>
      <c r="Q90" s="4">
        <f t="shared" si="104"/>
        <v>0</v>
      </c>
      <c r="R90" s="4">
        <f t="shared" si="104"/>
        <v>0</v>
      </c>
      <c r="S90" s="4">
        <f t="shared" si="104"/>
        <v>0</v>
      </c>
      <c r="T90" s="4">
        <f t="shared" si="104"/>
        <v>-3537.0437057953955</v>
      </c>
      <c r="U90" s="4">
        <f t="shared" ref="U90" si="121">IF($A90&gt;U$3,0,U89-U342)</f>
        <v>0</v>
      </c>
    </row>
    <row r="91" spans="1:21" x14ac:dyDescent="0.3">
      <c r="A91">
        <f t="shared" si="51"/>
        <v>36</v>
      </c>
      <c r="B91" s="1">
        <f>VLOOKUP(A91,dates!A:B,2,0)</f>
        <v>46023</v>
      </c>
      <c r="C91" s="4">
        <f t="shared" si="111"/>
        <v>0</v>
      </c>
      <c r="D91" s="4">
        <f t="shared" si="112"/>
        <v>0</v>
      </c>
      <c r="E91" s="4">
        <f t="shared" si="113"/>
        <v>0</v>
      </c>
      <c r="F91" s="4">
        <f t="shared" si="114"/>
        <v>0</v>
      </c>
      <c r="G91" s="4">
        <f t="shared" si="115"/>
        <v>0</v>
      </c>
      <c r="H91" s="4">
        <f t="shared" si="116"/>
        <v>0</v>
      </c>
      <c r="I91" s="4">
        <f t="shared" si="117"/>
        <v>0</v>
      </c>
      <c r="J91" s="4">
        <f t="shared" si="118"/>
        <v>0</v>
      </c>
      <c r="K91" s="4">
        <f t="shared" si="118"/>
        <v>-2130.6509491256493</v>
      </c>
      <c r="L91" s="4">
        <f t="shared" si="106"/>
        <v>0</v>
      </c>
      <c r="M91" s="4">
        <f t="shared" si="106"/>
        <v>0</v>
      </c>
      <c r="N91" s="4">
        <f t="shared" si="104"/>
        <v>0</v>
      </c>
      <c r="O91" s="4">
        <f t="shared" si="104"/>
        <v>0</v>
      </c>
      <c r="P91" s="4">
        <f t="shared" si="104"/>
        <v>0</v>
      </c>
      <c r="Q91" s="4">
        <f t="shared" si="104"/>
        <v>0</v>
      </c>
      <c r="R91" s="4">
        <f t="shared" si="104"/>
        <v>0</v>
      </c>
      <c r="S91" s="4">
        <f t="shared" si="104"/>
        <v>0</v>
      </c>
      <c r="T91" s="4">
        <f t="shared" si="104"/>
        <v>-3945.0565684878338</v>
      </c>
      <c r="U91" s="4">
        <f t="shared" ref="U91" si="122">IF($A91&gt;U$3,0,U90-U343)</f>
        <v>0</v>
      </c>
    </row>
    <row r="92" spans="1:21" x14ac:dyDescent="0.3">
      <c r="A92">
        <f t="shared" si="51"/>
        <v>37</v>
      </c>
      <c r="B92" s="1">
        <f>VLOOKUP(A92,dates!A:B,2,0)</f>
        <v>46054</v>
      </c>
      <c r="C92" s="4">
        <f t="shared" si="111"/>
        <v>0</v>
      </c>
      <c r="D92" s="4">
        <f t="shared" si="112"/>
        <v>0</v>
      </c>
      <c r="E92" s="4">
        <f t="shared" si="113"/>
        <v>0</v>
      </c>
      <c r="F92" s="4">
        <f t="shared" si="114"/>
        <v>0</v>
      </c>
      <c r="G92" s="4">
        <f t="shared" si="115"/>
        <v>0</v>
      </c>
      <c r="H92" s="4">
        <f t="shared" si="116"/>
        <v>0</v>
      </c>
      <c r="I92" s="4">
        <f t="shared" si="117"/>
        <v>0</v>
      </c>
      <c r="J92" s="4">
        <f t="shared" si="118"/>
        <v>0</v>
      </c>
      <c r="K92" s="4">
        <f t="shared" si="118"/>
        <v>0</v>
      </c>
      <c r="L92" s="4">
        <f t="shared" si="106"/>
        <v>0</v>
      </c>
      <c r="M92" s="4">
        <f t="shared" si="106"/>
        <v>0</v>
      </c>
      <c r="N92" s="4">
        <f t="shared" si="104"/>
        <v>0</v>
      </c>
      <c r="O92" s="4">
        <f t="shared" si="104"/>
        <v>0</v>
      </c>
      <c r="P92" s="4">
        <f t="shared" si="104"/>
        <v>0</v>
      </c>
      <c r="Q92" s="4">
        <f t="shared" si="104"/>
        <v>0</v>
      </c>
      <c r="R92" s="4">
        <f t="shared" si="104"/>
        <v>0</v>
      </c>
      <c r="S92" s="4">
        <f t="shared" si="104"/>
        <v>0</v>
      </c>
      <c r="T92" s="4">
        <f t="shared" si="104"/>
        <v>0</v>
      </c>
      <c r="U92" s="4">
        <f t="shared" ref="U92" si="123">IF($A92&gt;U$3,0,U91-U344)</f>
        <v>0</v>
      </c>
    </row>
    <row r="93" spans="1:21" x14ac:dyDescent="0.3">
      <c r="A93">
        <f t="shared" si="51"/>
        <v>38</v>
      </c>
      <c r="B93" s="1">
        <f>VLOOKUP(A93,dates!A:B,2,0)</f>
        <v>46082</v>
      </c>
      <c r="C93" s="4">
        <f t="shared" si="111"/>
        <v>0</v>
      </c>
      <c r="D93" s="4">
        <f t="shared" si="112"/>
        <v>0</v>
      </c>
      <c r="E93" s="4">
        <f t="shared" si="113"/>
        <v>0</v>
      </c>
      <c r="F93" s="4">
        <f t="shared" si="114"/>
        <v>0</v>
      </c>
      <c r="G93" s="4">
        <f t="shared" si="115"/>
        <v>0</v>
      </c>
      <c r="H93" s="4">
        <f t="shared" si="116"/>
        <v>0</v>
      </c>
      <c r="I93" s="4">
        <f t="shared" si="117"/>
        <v>0</v>
      </c>
      <c r="J93" s="4">
        <f t="shared" si="118"/>
        <v>0</v>
      </c>
      <c r="K93" s="4">
        <f t="shared" si="118"/>
        <v>0</v>
      </c>
      <c r="L93" s="4">
        <f t="shared" si="106"/>
        <v>0</v>
      </c>
      <c r="M93" s="4">
        <f t="shared" si="106"/>
        <v>0</v>
      </c>
      <c r="N93" s="4">
        <f t="shared" si="104"/>
        <v>0</v>
      </c>
      <c r="O93" s="4">
        <f t="shared" si="104"/>
        <v>0</v>
      </c>
      <c r="P93" s="4">
        <f t="shared" si="104"/>
        <v>0</v>
      </c>
      <c r="Q93" s="4">
        <f t="shared" si="104"/>
        <v>0</v>
      </c>
      <c r="R93" s="4">
        <f t="shared" si="104"/>
        <v>0</v>
      </c>
      <c r="S93" s="4">
        <f t="shared" si="104"/>
        <v>0</v>
      </c>
      <c r="T93" s="4">
        <f t="shared" si="104"/>
        <v>0</v>
      </c>
      <c r="U93" s="4">
        <f t="shared" ref="U93" si="124">IF($A93&gt;U$3,0,U92-U345)</f>
        <v>0</v>
      </c>
    </row>
    <row r="94" spans="1:21" x14ac:dyDescent="0.3">
      <c r="A94">
        <f t="shared" si="51"/>
        <v>39</v>
      </c>
      <c r="B94" s="1">
        <f>VLOOKUP(A94,dates!A:B,2,0)</f>
        <v>46113</v>
      </c>
      <c r="C94" s="4">
        <f t="shared" si="111"/>
        <v>0</v>
      </c>
      <c r="D94" s="4">
        <f t="shared" si="112"/>
        <v>0</v>
      </c>
      <c r="E94" s="4">
        <f t="shared" si="113"/>
        <v>0</v>
      </c>
      <c r="F94" s="4">
        <f t="shared" si="114"/>
        <v>0</v>
      </c>
      <c r="G94" s="4">
        <f t="shared" si="115"/>
        <v>0</v>
      </c>
      <c r="H94" s="4">
        <f t="shared" si="116"/>
        <v>0</v>
      </c>
      <c r="I94" s="4">
        <f t="shared" si="117"/>
        <v>0</v>
      </c>
      <c r="J94" s="4">
        <f t="shared" si="118"/>
        <v>0</v>
      </c>
      <c r="K94" s="4">
        <f t="shared" si="118"/>
        <v>0</v>
      </c>
      <c r="L94" s="4">
        <f t="shared" si="106"/>
        <v>0</v>
      </c>
      <c r="M94" s="4">
        <f t="shared" si="106"/>
        <v>0</v>
      </c>
      <c r="N94" s="4">
        <f t="shared" si="104"/>
        <v>0</v>
      </c>
      <c r="O94" s="4">
        <f t="shared" si="104"/>
        <v>0</v>
      </c>
      <c r="P94" s="4">
        <f t="shared" si="104"/>
        <v>0</v>
      </c>
      <c r="Q94" s="4">
        <f t="shared" si="104"/>
        <v>0</v>
      </c>
      <c r="R94" s="4">
        <f t="shared" si="104"/>
        <v>0</v>
      </c>
      <c r="S94" s="4">
        <f t="shared" si="104"/>
        <v>0</v>
      </c>
      <c r="T94" s="4">
        <f t="shared" si="104"/>
        <v>0</v>
      </c>
      <c r="U94" s="4">
        <f t="shared" ref="U94" si="125">IF($A94&gt;U$3,0,U93-U346)</f>
        <v>0</v>
      </c>
    </row>
    <row r="95" spans="1:21" x14ac:dyDescent="0.3">
      <c r="A95">
        <f t="shared" si="51"/>
        <v>40</v>
      </c>
      <c r="B95" s="1">
        <f>VLOOKUP(A95,dates!A:B,2,0)</f>
        <v>46143</v>
      </c>
      <c r="C95" s="4">
        <f t="shared" si="111"/>
        <v>0</v>
      </c>
      <c r="D95" s="4">
        <f t="shared" si="112"/>
        <v>0</v>
      </c>
      <c r="E95" s="4">
        <f t="shared" si="113"/>
        <v>0</v>
      </c>
      <c r="F95" s="4">
        <f t="shared" si="114"/>
        <v>0</v>
      </c>
      <c r="G95" s="4">
        <f t="shared" si="115"/>
        <v>0</v>
      </c>
      <c r="H95" s="4">
        <f t="shared" si="116"/>
        <v>0</v>
      </c>
      <c r="I95" s="4">
        <f t="shared" si="117"/>
        <v>0</v>
      </c>
      <c r="J95" s="4">
        <f t="shared" si="118"/>
        <v>0</v>
      </c>
      <c r="K95" s="4">
        <f t="shared" si="118"/>
        <v>0</v>
      </c>
      <c r="L95" s="4">
        <f t="shared" si="106"/>
        <v>0</v>
      </c>
      <c r="M95" s="4">
        <f t="shared" si="106"/>
        <v>0</v>
      </c>
      <c r="N95" s="4">
        <f t="shared" si="104"/>
        <v>0</v>
      </c>
      <c r="O95" s="4">
        <f t="shared" si="104"/>
        <v>0</v>
      </c>
      <c r="P95" s="4">
        <f t="shared" si="104"/>
        <v>0</v>
      </c>
      <c r="Q95" s="4">
        <f t="shared" si="104"/>
        <v>0</v>
      </c>
      <c r="R95" s="4">
        <f t="shared" si="104"/>
        <v>0</v>
      </c>
      <c r="S95" s="4">
        <f t="shared" si="104"/>
        <v>0</v>
      </c>
      <c r="T95" s="4">
        <f t="shared" si="104"/>
        <v>0</v>
      </c>
      <c r="U95" s="4">
        <f t="shared" ref="U95" si="126">IF($A95&gt;U$3,0,U94-U347)</f>
        <v>0</v>
      </c>
    </row>
    <row r="96" spans="1:21" x14ac:dyDescent="0.3">
      <c r="A96">
        <f t="shared" si="51"/>
        <v>41</v>
      </c>
      <c r="B96" s="1">
        <f>VLOOKUP(A96,dates!A:B,2,0)</f>
        <v>46174</v>
      </c>
      <c r="C96" s="4">
        <f t="shared" si="111"/>
        <v>0</v>
      </c>
      <c r="D96" s="4">
        <f t="shared" si="112"/>
        <v>0</v>
      </c>
      <c r="E96" s="4">
        <f t="shared" si="113"/>
        <v>0</v>
      </c>
      <c r="F96" s="4">
        <f t="shared" si="114"/>
        <v>0</v>
      </c>
      <c r="G96" s="4">
        <f t="shared" si="115"/>
        <v>0</v>
      </c>
      <c r="H96" s="4">
        <f t="shared" si="116"/>
        <v>0</v>
      </c>
      <c r="I96" s="4">
        <f t="shared" si="117"/>
        <v>0</v>
      </c>
      <c r="J96" s="4">
        <f t="shared" si="118"/>
        <v>0</v>
      </c>
      <c r="K96" s="4">
        <f t="shared" si="118"/>
        <v>0</v>
      </c>
      <c r="L96" s="4">
        <f t="shared" si="106"/>
        <v>0</v>
      </c>
      <c r="M96" s="4">
        <f t="shared" si="106"/>
        <v>0</v>
      </c>
      <c r="N96" s="4">
        <f t="shared" si="104"/>
        <v>0</v>
      </c>
      <c r="O96" s="4">
        <f t="shared" si="104"/>
        <v>0</v>
      </c>
      <c r="P96" s="4">
        <f t="shared" si="104"/>
        <v>0</v>
      </c>
      <c r="Q96" s="4">
        <f t="shared" si="104"/>
        <v>0</v>
      </c>
      <c r="R96" s="4">
        <f t="shared" si="104"/>
        <v>0</v>
      </c>
      <c r="S96" s="4">
        <f t="shared" si="104"/>
        <v>0</v>
      </c>
      <c r="T96" s="4">
        <f t="shared" si="104"/>
        <v>0</v>
      </c>
      <c r="U96" s="4">
        <f t="shared" ref="U96" si="127">IF($A96&gt;U$3,0,U95-U348)</f>
        <v>0</v>
      </c>
    </row>
    <row r="97" spans="1:21" x14ac:dyDescent="0.3">
      <c r="A97">
        <f t="shared" si="51"/>
        <v>42</v>
      </c>
      <c r="B97" s="1">
        <f>VLOOKUP(A97,dates!A:B,2,0)</f>
        <v>46204</v>
      </c>
      <c r="C97" s="4">
        <f t="shared" si="111"/>
        <v>0</v>
      </c>
      <c r="D97" s="4">
        <f t="shared" si="112"/>
        <v>0</v>
      </c>
      <c r="E97" s="4">
        <f t="shared" si="113"/>
        <v>0</v>
      </c>
      <c r="F97" s="4">
        <f t="shared" si="114"/>
        <v>0</v>
      </c>
      <c r="G97" s="4">
        <f t="shared" si="115"/>
        <v>0</v>
      </c>
      <c r="H97" s="4">
        <f t="shared" si="116"/>
        <v>0</v>
      </c>
      <c r="I97" s="4">
        <f t="shared" si="117"/>
        <v>0</v>
      </c>
      <c r="J97" s="4">
        <f t="shared" si="118"/>
        <v>0</v>
      </c>
      <c r="K97" s="4">
        <f t="shared" si="118"/>
        <v>0</v>
      </c>
      <c r="L97" s="4">
        <f t="shared" si="106"/>
        <v>0</v>
      </c>
      <c r="M97" s="4">
        <f t="shared" si="106"/>
        <v>0</v>
      </c>
      <c r="N97" s="4">
        <f t="shared" si="104"/>
        <v>0</v>
      </c>
      <c r="O97" s="4">
        <f t="shared" si="104"/>
        <v>0</v>
      </c>
      <c r="P97" s="4">
        <f t="shared" si="104"/>
        <v>0</v>
      </c>
      <c r="Q97" s="4">
        <f t="shared" si="104"/>
        <v>0</v>
      </c>
      <c r="R97" s="4">
        <f t="shared" si="104"/>
        <v>0</v>
      </c>
      <c r="S97" s="4">
        <f t="shared" si="104"/>
        <v>0</v>
      </c>
      <c r="T97" s="4">
        <f t="shared" si="104"/>
        <v>0</v>
      </c>
      <c r="U97" s="4">
        <f t="shared" ref="U97" si="128">IF($A97&gt;U$3,0,U96-U349)</f>
        <v>0</v>
      </c>
    </row>
    <row r="98" spans="1:21" x14ac:dyDescent="0.3">
      <c r="A98">
        <f t="shared" si="51"/>
        <v>43</v>
      </c>
      <c r="B98" s="1">
        <f>VLOOKUP(A98,dates!A:B,2,0)</f>
        <v>46235</v>
      </c>
      <c r="C98" s="4">
        <f t="shared" si="111"/>
        <v>0</v>
      </c>
      <c r="D98" s="4">
        <f t="shared" si="112"/>
        <v>0</v>
      </c>
      <c r="E98" s="4">
        <f t="shared" si="113"/>
        <v>0</v>
      </c>
      <c r="F98" s="4">
        <f t="shared" si="114"/>
        <v>0</v>
      </c>
      <c r="G98" s="4">
        <f t="shared" si="115"/>
        <v>0</v>
      </c>
      <c r="H98" s="4">
        <f t="shared" si="116"/>
        <v>0</v>
      </c>
      <c r="I98" s="4">
        <f t="shared" si="117"/>
        <v>0</v>
      </c>
      <c r="J98" s="4">
        <f t="shared" si="118"/>
        <v>0</v>
      </c>
      <c r="K98" s="4">
        <f t="shared" si="118"/>
        <v>0</v>
      </c>
      <c r="L98" s="4">
        <f t="shared" si="106"/>
        <v>0</v>
      </c>
      <c r="M98" s="4">
        <f t="shared" si="106"/>
        <v>0</v>
      </c>
      <c r="N98" s="4">
        <f t="shared" si="104"/>
        <v>0</v>
      </c>
      <c r="O98" s="4">
        <f t="shared" si="104"/>
        <v>0</v>
      </c>
      <c r="P98" s="4">
        <f t="shared" si="104"/>
        <v>0</v>
      </c>
      <c r="Q98" s="4">
        <f t="shared" si="104"/>
        <v>0</v>
      </c>
      <c r="R98" s="4">
        <f t="shared" si="104"/>
        <v>0</v>
      </c>
      <c r="S98" s="4">
        <f t="shared" si="104"/>
        <v>0</v>
      </c>
      <c r="T98" s="4">
        <f t="shared" si="104"/>
        <v>0</v>
      </c>
      <c r="U98" s="4">
        <f t="shared" ref="U98" si="129">IF($A98&gt;U$3,0,U97-U350)</f>
        <v>0</v>
      </c>
    </row>
    <row r="99" spans="1:21" x14ac:dyDescent="0.3">
      <c r="A99">
        <f t="shared" si="51"/>
        <v>44</v>
      </c>
      <c r="B99" s="1">
        <f>VLOOKUP(A99,dates!A:B,2,0)</f>
        <v>46266</v>
      </c>
      <c r="C99" s="4">
        <f t="shared" si="111"/>
        <v>0</v>
      </c>
      <c r="D99" s="4">
        <f t="shared" si="112"/>
        <v>0</v>
      </c>
      <c r="E99" s="4">
        <f t="shared" si="113"/>
        <v>0</v>
      </c>
      <c r="F99" s="4">
        <f t="shared" si="114"/>
        <v>0</v>
      </c>
      <c r="G99" s="4">
        <f t="shared" si="115"/>
        <v>0</v>
      </c>
      <c r="H99" s="4">
        <f t="shared" si="116"/>
        <v>0</v>
      </c>
      <c r="I99" s="4">
        <f t="shared" si="117"/>
        <v>0</v>
      </c>
      <c r="J99" s="4">
        <f t="shared" si="118"/>
        <v>0</v>
      </c>
      <c r="K99" s="4">
        <f t="shared" si="118"/>
        <v>0</v>
      </c>
      <c r="L99" s="4">
        <f t="shared" si="106"/>
        <v>0</v>
      </c>
      <c r="M99" s="4">
        <f t="shared" si="106"/>
        <v>0</v>
      </c>
      <c r="N99" s="4">
        <f t="shared" si="106"/>
        <v>0</v>
      </c>
      <c r="O99" s="4">
        <f t="shared" si="106"/>
        <v>0</v>
      </c>
      <c r="P99" s="4">
        <f t="shared" si="106"/>
        <v>0</v>
      </c>
      <c r="Q99" s="4">
        <f t="shared" si="106"/>
        <v>0</v>
      </c>
      <c r="R99" s="4">
        <f t="shared" si="106"/>
        <v>0</v>
      </c>
      <c r="S99" s="4">
        <f t="shared" si="106"/>
        <v>0</v>
      </c>
      <c r="T99" s="4">
        <f t="shared" si="106"/>
        <v>0</v>
      </c>
      <c r="U99" s="4">
        <f t="shared" ref="U99" si="130">IF($A99&gt;U$3,0,U98-U351)</f>
        <v>0</v>
      </c>
    </row>
    <row r="100" spans="1:21" x14ac:dyDescent="0.3">
      <c r="A100">
        <f t="shared" si="51"/>
        <v>45</v>
      </c>
      <c r="B100" s="1">
        <f>VLOOKUP(A100,dates!A:B,2,0)</f>
        <v>46296</v>
      </c>
      <c r="C100" s="4">
        <f t="shared" si="111"/>
        <v>0</v>
      </c>
      <c r="D100" s="4">
        <f t="shared" si="112"/>
        <v>0</v>
      </c>
      <c r="E100" s="4">
        <f t="shared" si="113"/>
        <v>0</v>
      </c>
      <c r="F100" s="4">
        <f t="shared" si="114"/>
        <v>0</v>
      </c>
      <c r="G100" s="4">
        <f t="shared" si="115"/>
        <v>0</v>
      </c>
      <c r="H100" s="4">
        <f t="shared" si="116"/>
        <v>0</v>
      </c>
      <c r="I100" s="4">
        <f t="shared" si="117"/>
        <v>0</v>
      </c>
      <c r="J100" s="4">
        <f t="shared" si="118"/>
        <v>0</v>
      </c>
      <c r="K100" s="4">
        <f t="shared" si="118"/>
        <v>0</v>
      </c>
      <c r="L100" s="4">
        <f t="shared" si="118"/>
        <v>0</v>
      </c>
      <c r="M100" s="4">
        <f t="shared" si="118"/>
        <v>0</v>
      </c>
      <c r="N100" s="4">
        <f t="shared" si="118"/>
        <v>0</v>
      </c>
      <c r="O100" s="4">
        <f t="shared" si="118"/>
        <v>0</v>
      </c>
      <c r="P100" s="4">
        <f t="shared" si="118"/>
        <v>0</v>
      </c>
      <c r="Q100" s="4">
        <f t="shared" si="118"/>
        <v>0</v>
      </c>
      <c r="R100" s="4">
        <f t="shared" si="118"/>
        <v>0</v>
      </c>
      <c r="S100" s="4">
        <f t="shared" ref="S100:T100" si="131">IF($A100&gt;S$3,0,S99-S352)</f>
        <v>0</v>
      </c>
      <c r="T100" s="4">
        <f t="shared" si="131"/>
        <v>0</v>
      </c>
      <c r="U100" s="4">
        <f t="shared" ref="U100" si="132">IF($A100&gt;U$3,0,U99-U352)</f>
        <v>0</v>
      </c>
    </row>
    <row r="101" spans="1:21" x14ac:dyDescent="0.3">
      <c r="A101">
        <f t="shared" si="51"/>
        <v>46</v>
      </c>
      <c r="B101" s="1">
        <f>VLOOKUP(A101,dates!A:B,2,0)</f>
        <v>46327</v>
      </c>
      <c r="C101" s="4">
        <f t="shared" si="111"/>
        <v>0</v>
      </c>
      <c r="D101" s="4">
        <f t="shared" si="112"/>
        <v>0</v>
      </c>
      <c r="E101" s="4">
        <f t="shared" si="113"/>
        <v>0</v>
      </c>
      <c r="F101" s="4">
        <f t="shared" si="114"/>
        <v>0</v>
      </c>
      <c r="G101" s="4">
        <f t="shared" si="115"/>
        <v>0</v>
      </c>
      <c r="H101" s="4">
        <f t="shared" si="116"/>
        <v>0</v>
      </c>
      <c r="I101" s="4">
        <f t="shared" si="117"/>
        <v>0</v>
      </c>
      <c r="J101" s="4">
        <f t="shared" si="118"/>
        <v>0</v>
      </c>
      <c r="K101" s="4">
        <f t="shared" si="118"/>
        <v>0</v>
      </c>
      <c r="L101" s="4">
        <f t="shared" si="118"/>
        <v>0</v>
      </c>
      <c r="M101" s="4">
        <f t="shared" si="118"/>
        <v>0</v>
      </c>
      <c r="N101" s="4">
        <f t="shared" si="118"/>
        <v>0</v>
      </c>
      <c r="O101" s="4">
        <f t="shared" si="118"/>
        <v>0</v>
      </c>
      <c r="P101" s="4">
        <f t="shared" si="118"/>
        <v>0</v>
      </c>
      <c r="Q101" s="4">
        <f t="shared" si="118"/>
        <v>0</v>
      </c>
      <c r="R101" s="4">
        <f t="shared" si="118"/>
        <v>0</v>
      </c>
      <c r="S101" s="4">
        <f t="shared" ref="S101:T101" si="133">IF($A101&gt;S$3,0,S100-S353)</f>
        <v>0</v>
      </c>
      <c r="T101" s="4">
        <f t="shared" si="133"/>
        <v>0</v>
      </c>
      <c r="U101" s="4">
        <f t="shared" ref="U101" si="134">IF($A101&gt;U$3,0,U100-U353)</f>
        <v>0</v>
      </c>
    </row>
    <row r="102" spans="1:21" x14ac:dyDescent="0.3">
      <c r="A102">
        <f t="shared" si="51"/>
        <v>47</v>
      </c>
      <c r="B102" s="1">
        <f>VLOOKUP(A102,dates!A:B,2,0)</f>
        <v>46357</v>
      </c>
      <c r="C102" s="4">
        <f t="shared" si="111"/>
        <v>0</v>
      </c>
      <c r="D102" s="4">
        <f t="shared" si="112"/>
        <v>0</v>
      </c>
      <c r="E102" s="4">
        <f t="shared" si="113"/>
        <v>0</v>
      </c>
      <c r="F102" s="4">
        <f t="shared" si="114"/>
        <v>0</v>
      </c>
      <c r="G102" s="4">
        <f t="shared" si="115"/>
        <v>0</v>
      </c>
      <c r="H102" s="4">
        <f t="shared" si="116"/>
        <v>0</v>
      </c>
      <c r="I102" s="4">
        <f t="shared" si="117"/>
        <v>0</v>
      </c>
      <c r="J102" s="4">
        <f t="shared" si="118"/>
        <v>0</v>
      </c>
      <c r="K102" s="4">
        <f t="shared" si="118"/>
        <v>0</v>
      </c>
      <c r="L102" s="4">
        <f t="shared" si="118"/>
        <v>0</v>
      </c>
      <c r="M102" s="4">
        <f t="shared" si="118"/>
        <v>0</v>
      </c>
      <c r="N102" s="4">
        <f t="shared" si="118"/>
        <v>0</v>
      </c>
      <c r="O102" s="4">
        <f t="shared" si="118"/>
        <v>0</v>
      </c>
      <c r="P102" s="4">
        <f t="shared" si="118"/>
        <v>0</v>
      </c>
      <c r="Q102" s="4">
        <f t="shared" si="118"/>
        <v>0</v>
      </c>
      <c r="R102" s="4">
        <f t="shared" si="118"/>
        <v>0</v>
      </c>
      <c r="S102" s="4">
        <f t="shared" ref="S102:T102" si="135">IF($A102&gt;S$3,0,S101-S354)</f>
        <v>0</v>
      </c>
      <c r="T102" s="4">
        <f t="shared" si="135"/>
        <v>0</v>
      </c>
      <c r="U102" s="4">
        <f t="shared" ref="U102" si="136">IF($A102&gt;U$3,0,U101-U354)</f>
        <v>0</v>
      </c>
    </row>
    <row r="103" spans="1:21" x14ac:dyDescent="0.3">
      <c r="A103">
        <f t="shared" si="51"/>
        <v>48</v>
      </c>
      <c r="B103" s="1">
        <f>VLOOKUP(A103,dates!A:B,2,0)</f>
        <v>46388</v>
      </c>
      <c r="C103" s="4">
        <f t="shared" si="111"/>
        <v>0</v>
      </c>
      <c r="D103" s="4">
        <f t="shared" si="112"/>
        <v>0</v>
      </c>
      <c r="E103" s="4">
        <f t="shared" si="113"/>
        <v>0</v>
      </c>
      <c r="F103" s="4">
        <f t="shared" si="114"/>
        <v>0</v>
      </c>
      <c r="G103" s="4">
        <f t="shared" si="115"/>
        <v>0</v>
      </c>
      <c r="H103" s="4">
        <f t="shared" si="116"/>
        <v>0</v>
      </c>
      <c r="I103" s="4">
        <f t="shared" si="117"/>
        <v>0</v>
      </c>
      <c r="J103" s="4">
        <f t="shared" si="118"/>
        <v>0</v>
      </c>
      <c r="K103" s="4">
        <f t="shared" si="118"/>
        <v>0</v>
      </c>
      <c r="L103" s="4">
        <f t="shared" si="118"/>
        <v>0</v>
      </c>
      <c r="M103" s="4">
        <f t="shared" si="118"/>
        <v>0</v>
      </c>
      <c r="N103" s="4">
        <f t="shared" si="118"/>
        <v>0</v>
      </c>
      <c r="O103" s="4">
        <f t="shared" si="118"/>
        <v>0</v>
      </c>
      <c r="P103" s="4">
        <f t="shared" si="118"/>
        <v>0</v>
      </c>
      <c r="Q103" s="4">
        <f t="shared" si="118"/>
        <v>0</v>
      </c>
      <c r="R103" s="4">
        <f t="shared" si="118"/>
        <v>0</v>
      </c>
      <c r="S103" s="4">
        <f t="shared" ref="S103:T103" si="137">IF($A103&gt;S$3,0,S102-S355)</f>
        <v>0</v>
      </c>
      <c r="T103" s="4">
        <f t="shared" si="137"/>
        <v>0</v>
      </c>
      <c r="U103" s="4">
        <f t="shared" ref="U103" si="138">IF($A103&gt;U$3,0,U102-U355)</f>
        <v>0</v>
      </c>
    </row>
    <row r="104" spans="1:21" x14ac:dyDescent="0.3">
      <c r="A104">
        <f t="shared" si="51"/>
        <v>49</v>
      </c>
      <c r="B104" s="1">
        <f>VLOOKUP(A104,dates!A:B,2,0)</f>
        <v>46419</v>
      </c>
      <c r="C104" s="4">
        <f t="shared" si="111"/>
        <v>0</v>
      </c>
      <c r="D104" s="4">
        <f t="shared" si="112"/>
        <v>0</v>
      </c>
      <c r="E104" s="4">
        <f t="shared" si="113"/>
        <v>0</v>
      </c>
      <c r="F104" s="4">
        <f t="shared" si="114"/>
        <v>0</v>
      </c>
      <c r="G104" s="4">
        <f t="shared" si="115"/>
        <v>0</v>
      </c>
      <c r="H104" s="4">
        <f t="shared" si="116"/>
        <v>0</v>
      </c>
      <c r="I104" s="4">
        <f t="shared" si="117"/>
        <v>0</v>
      </c>
      <c r="J104" s="4">
        <f t="shared" si="118"/>
        <v>0</v>
      </c>
      <c r="K104" s="4">
        <f t="shared" si="118"/>
        <v>0</v>
      </c>
      <c r="L104" s="4">
        <f t="shared" si="118"/>
        <v>0</v>
      </c>
      <c r="M104" s="4">
        <f t="shared" si="118"/>
        <v>0</v>
      </c>
      <c r="N104" s="4">
        <f t="shared" si="118"/>
        <v>0</v>
      </c>
      <c r="O104" s="4">
        <f t="shared" si="118"/>
        <v>0</v>
      </c>
      <c r="P104" s="4">
        <f t="shared" si="118"/>
        <v>0</v>
      </c>
      <c r="Q104" s="4">
        <f t="shared" si="118"/>
        <v>0</v>
      </c>
      <c r="R104" s="4">
        <f t="shared" si="118"/>
        <v>0</v>
      </c>
      <c r="S104" s="4">
        <f t="shared" ref="S104:T104" si="139">IF($A104&gt;S$3,0,S103-S356)</f>
        <v>0</v>
      </c>
      <c r="T104" s="4">
        <f t="shared" si="139"/>
        <v>0</v>
      </c>
      <c r="U104" s="4">
        <f t="shared" ref="U104" si="140">IF($A104&gt;U$3,0,U103-U356)</f>
        <v>0</v>
      </c>
    </row>
    <row r="105" spans="1:21" x14ac:dyDescent="0.3">
      <c r="A105">
        <f t="shared" si="51"/>
        <v>50</v>
      </c>
      <c r="B105" s="1">
        <f>VLOOKUP(A105,dates!A:B,2,0)</f>
        <v>46447</v>
      </c>
      <c r="C105" s="4">
        <f t="shared" si="111"/>
        <v>0</v>
      </c>
      <c r="D105" s="4">
        <f t="shared" si="112"/>
        <v>0</v>
      </c>
      <c r="E105" s="4">
        <f t="shared" si="113"/>
        <v>0</v>
      </c>
      <c r="F105" s="4">
        <f t="shared" si="114"/>
        <v>0</v>
      </c>
      <c r="G105" s="4">
        <f t="shared" si="115"/>
        <v>0</v>
      </c>
      <c r="H105" s="4">
        <f t="shared" si="116"/>
        <v>0</v>
      </c>
      <c r="I105" s="4">
        <f t="shared" si="117"/>
        <v>0</v>
      </c>
      <c r="J105" s="4">
        <f t="shared" si="118"/>
        <v>0</v>
      </c>
      <c r="K105" s="4">
        <f t="shared" si="118"/>
        <v>0</v>
      </c>
      <c r="L105" s="4">
        <f t="shared" si="118"/>
        <v>0</v>
      </c>
      <c r="M105" s="4">
        <f t="shared" si="118"/>
        <v>0</v>
      </c>
      <c r="N105" s="4">
        <f t="shared" si="118"/>
        <v>0</v>
      </c>
      <c r="O105" s="4">
        <f t="shared" si="118"/>
        <v>0</v>
      </c>
      <c r="P105" s="4">
        <f t="shared" si="118"/>
        <v>0</v>
      </c>
      <c r="Q105" s="4">
        <f t="shared" si="118"/>
        <v>0</v>
      </c>
      <c r="R105" s="4">
        <f t="shared" si="118"/>
        <v>0</v>
      </c>
      <c r="S105" s="4">
        <f t="shared" ref="S105:T105" si="141">IF($A105&gt;S$3,0,S104-S357)</f>
        <v>0</v>
      </c>
      <c r="T105" s="4">
        <f t="shared" si="141"/>
        <v>0</v>
      </c>
      <c r="U105" s="4">
        <f t="shared" ref="U105" si="142">IF($A105&gt;U$3,0,U104-U357)</f>
        <v>0</v>
      </c>
    </row>
    <row r="106" spans="1:21" x14ac:dyDescent="0.3">
      <c r="A106">
        <f t="shared" si="51"/>
        <v>51</v>
      </c>
      <c r="B106" s="1">
        <f>VLOOKUP(A106,dates!A:B,2,0)</f>
        <v>46478</v>
      </c>
      <c r="C106" s="4">
        <f t="shared" si="111"/>
        <v>0</v>
      </c>
      <c r="D106" s="4">
        <f t="shared" si="112"/>
        <v>0</v>
      </c>
      <c r="E106" s="4">
        <f t="shared" si="113"/>
        <v>0</v>
      </c>
      <c r="F106" s="4">
        <f t="shared" si="114"/>
        <v>0</v>
      </c>
      <c r="G106" s="4">
        <f t="shared" si="115"/>
        <v>0</v>
      </c>
      <c r="H106" s="4">
        <f t="shared" si="116"/>
        <v>0</v>
      </c>
      <c r="I106" s="4">
        <f t="shared" si="117"/>
        <v>0</v>
      </c>
      <c r="J106" s="4">
        <f t="shared" si="118"/>
        <v>0</v>
      </c>
      <c r="K106" s="4">
        <f t="shared" si="118"/>
        <v>0</v>
      </c>
      <c r="L106" s="4">
        <f t="shared" si="118"/>
        <v>0</v>
      </c>
      <c r="M106" s="4">
        <f t="shared" si="118"/>
        <v>0</v>
      </c>
      <c r="N106" s="4">
        <f t="shared" si="118"/>
        <v>0</v>
      </c>
      <c r="O106" s="4">
        <f t="shared" si="118"/>
        <v>0</v>
      </c>
      <c r="P106" s="4">
        <f t="shared" si="118"/>
        <v>0</v>
      </c>
      <c r="Q106" s="4">
        <f t="shared" si="118"/>
        <v>0</v>
      </c>
      <c r="R106" s="4">
        <f t="shared" si="118"/>
        <v>0</v>
      </c>
      <c r="S106" s="4">
        <f t="shared" ref="S106:T106" si="143">IF($A106&gt;S$3,0,S105-S358)</f>
        <v>0</v>
      </c>
      <c r="T106" s="4">
        <f t="shared" si="143"/>
        <v>0</v>
      </c>
      <c r="U106" s="4">
        <f t="shared" ref="U106" si="144">IF($A106&gt;U$3,0,U105-U358)</f>
        <v>0</v>
      </c>
    </row>
    <row r="107" spans="1:21" x14ac:dyDescent="0.3">
      <c r="A107">
        <f t="shared" si="51"/>
        <v>52</v>
      </c>
      <c r="B107" s="1">
        <f>VLOOKUP(A107,dates!A:B,2,0)</f>
        <v>46508</v>
      </c>
      <c r="C107" s="4">
        <f t="shared" si="111"/>
        <v>0</v>
      </c>
      <c r="D107" s="4">
        <f t="shared" si="112"/>
        <v>0</v>
      </c>
      <c r="E107" s="4">
        <f t="shared" si="113"/>
        <v>0</v>
      </c>
      <c r="F107" s="4">
        <f t="shared" si="114"/>
        <v>0</v>
      </c>
      <c r="G107" s="4">
        <f t="shared" si="115"/>
        <v>0</v>
      </c>
      <c r="H107" s="4">
        <f t="shared" si="116"/>
        <v>0</v>
      </c>
      <c r="I107" s="4">
        <f t="shared" si="117"/>
        <v>0</v>
      </c>
      <c r="J107" s="4">
        <f t="shared" si="118"/>
        <v>0</v>
      </c>
      <c r="K107" s="4">
        <f t="shared" si="118"/>
        <v>0</v>
      </c>
      <c r="L107" s="4">
        <f t="shared" si="118"/>
        <v>0</v>
      </c>
      <c r="M107" s="4">
        <f t="shared" si="118"/>
        <v>0</v>
      </c>
      <c r="N107" s="4">
        <f t="shared" si="118"/>
        <v>0</v>
      </c>
      <c r="O107" s="4">
        <f t="shared" si="118"/>
        <v>0</v>
      </c>
      <c r="P107" s="4">
        <f t="shared" si="118"/>
        <v>0</v>
      </c>
      <c r="Q107" s="4">
        <f t="shared" si="118"/>
        <v>0</v>
      </c>
      <c r="R107" s="4">
        <f t="shared" si="118"/>
        <v>0</v>
      </c>
      <c r="S107" s="4">
        <f t="shared" ref="S107:T107" si="145">IF($A107&gt;S$3,0,S106-S359)</f>
        <v>0</v>
      </c>
      <c r="T107" s="4">
        <f t="shared" si="145"/>
        <v>0</v>
      </c>
      <c r="U107" s="4">
        <f t="shared" ref="U107" si="146">IF($A107&gt;U$3,0,U106-U359)</f>
        <v>0</v>
      </c>
    </row>
    <row r="108" spans="1:21" x14ac:dyDescent="0.3">
      <c r="A108">
        <f t="shared" si="51"/>
        <v>53</v>
      </c>
      <c r="B108" s="1">
        <f>VLOOKUP(A108,dates!A:B,2,0)</f>
        <v>46539</v>
      </c>
      <c r="C108" s="4">
        <f t="shared" si="111"/>
        <v>0</v>
      </c>
      <c r="D108" s="4">
        <f t="shared" si="112"/>
        <v>0</v>
      </c>
      <c r="E108" s="4">
        <f t="shared" si="113"/>
        <v>0</v>
      </c>
      <c r="F108" s="4">
        <f t="shared" si="114"/>
        <v>0</v>
      </c>
      <c r="G108" s="4">
        <f t="shared" si="115"/>
        <v>0</v>
      </c>
      <c r="H108" s="4">
        <f t="shared" si="116"/>
        <v>0</v>
      </c>
      <c r="I108" s="4">
        <f t="shared" si="117"/>
        <v>0</v>
      </c>
      <c r="J108" s="4">
        <f t="shared" si="118"/>
        <v>0</v>
      </c>
      <c r="K108" s="4">
        <f t="shared" si="118"/>
        <v>0</v>
      </c>
      <c r="L108" s="4">
        <f t="shared" si="118"/>
        <v>0</v>
      </c>
      <c r="M108" s="4">
        <f t="shared" si="118"/>
        <v>0</v>
      </c>
      <c r="N108" s="4">
        <f t="shared" si="118"/>
        <v>0</v>
      </c>
      <c r="O108" s="4">
        <f t="shared" si="118"/>
        <v>0</v>
      </c>
      <c r="P108" s="4">
        <f t="shared" si="118"/>
        <v>0</v>
      </c>
      <c r="Q108" s="4">
        <f t="shared" si="118"/>
        <v>0</v>
      </c>
      <c r="R108" s="4">
        <f t="shared" si="118"/>
        <v>0</v>
      </c>
      <c r="S108" s="4">
        <f t="shared" ref="S108:T108" si="147">IF($A108&gt;S$3,0,S107-S360)</f>
        <v>0</v>
      </c>
      <c r="T108" s="4">
        <f t="shared" si="147"/>
        <v>0</v>
      </c>
      <c r="U108" s="4">
        <f t="shared" ref="U108" si="148">IF($A108&gt;U$3,0,U107-U360)</f>
        <v>0</v>
      </c>
    </row>
    <row r="109" spans="1:21" x14ac:dyDescent="0.3">
      <c r="A109">
        <f t="shared" si="51"/>
        <v>54</v>
      </c>
      <c r="B109" s="1">
        <f>VLOOKUP(A109,dates!A:B,2,0)</f>
        <v>46569</v>
      </c>
      <c r="C109" s="4">
        <f t="shared" si="111"/>
        <v>0</v>
      </c>
      <c r="D109" s="4">
        <f t="shared" si="112"/>
        <v>0</v>
      </c>
      <c r="E109" s="4">
        <f t="shared" si="113"/>
        <v>0</v>
      </c>
      <c r="F109" s="4">
        <f t="shared" si="114"/>
        <v>0</v>
      </c>
      <c r="G109" s="4">
        <f t="shared" si="115"/>
        <v>0</v>
      </c>
      <c r="H109" s="4">
        <f t="shared" si="116"/>
        <v>0</v>
      </c>
      <c r="I109" s="4">
        <f t="shared" si="117"/>
        <v>0</v>
      </c>
      <c r="J109" s="4">
        <f t="shared" si="118"/>
        <v>0</v>
      </c>
      <c r="K109" s="4">
        <f t="shared" si="118"/>
        <v>0</v>
      </c>
      <c r="L109" s="4">
        <f t="shared" si="118"/>
        <v>0</v>
      </c>
      <c r="M109" s="4">
        <f t="shared" si="118"/>
        <v>0</v>
      </c>
      <c r="N109" s="4">
        <f t="shared" si="118"/>
        <v>0</v>
      </c>
      <c r="O109" s="4">
        <f t="shared" si="118"/>
        <v>0</v>
      </c>
      <c r="P109" s="4">
        <f t="shared" si="118"/>
        <v>0</v>
      </c>
      <c r="Q109" s="4">
        <f t="shared" si="118"/>
        <v>0</v>
      </c>
      <c r="R109" s="4">
        <f t="shared" si="118"/>
        <v>0</v>
      </c>
      <c r="S109" s="4">
        <f t="shared" ref="S109:T109" si="149">IF($A109&gt;S$3,0,S108-S361)</f>
        <v>0</v>
      </c>
      <c r="T109" s="4">
        <f t="shared" si="149"/>
        <v>0</v>
      </c>
      <c r="U109" s="4">
        <f t="shared" ref="U109" si="150">IF($A109&gt;U$3,0,U108-U361)</f>
        <v>0</v>
      </c>
    </row>
    <row r="110" spans="1:21" x14ac:dyDescent="0.3">
      <c r="A110">
        <f t="shared" si="51"/>
        <v>55</v>
      </c>
      <c r="B110" s="1">
        <f>VLOOKUP(A110,dates!A:B,2,0)</f>
        <v>46600</v>
      </c>
      <c r="C110" s="4">
        <f t="shared" si="111"/>
        <v>0</v>
      </c>
      <c r="D110" s="4">
        <f t="shared" si="112"/>
        <v>0</v>
      </c>
      <c r="E110" s="4">
        <f t="shared" si="113"/>
        <v>0</v>
      </c>
      <c r="F110" s="4">
        <f t="shared" si="114"/>
        <v>0</v>
      </c>
      <c r="G110" s="4">
        <f t="shared" si="115"/>
        <v>0</v>
      </c>
      <c r="H110" s="4">
        <f t="shared" si="116"/>
        <v>0</v>
      </c>
      <c r="I110" s="4">
        <f t="shared" si="117"/>
        <v>0</v>
      </c>
      <c r="J110" s="4">
        <f t="shared" si="118"/>
        <v>0</v>
      </c>
      <c r="K110" s="4">
        <f t="shared" si="118"/>
        <v>0</v>
      </c>
      <c r="L110" s="4">
        <f t="shared" si="118"/>
        <v>0</v>
      </c>
      <c r="M110" s="4">
        <f t="shared" si="118"/>
        <v>0</v>
      </c>
      <c r="N110" s="4">
        <f t="shared" si="118"/>
        <v>0</v>
      </c>
      <c r="O110" s="4">
        <f t="shared" si="118"/>
        <v>0</v>
      </c>
      <c r="P110" s="4">
        <f t="shared" si="118"/>
        <v>0</v>
      </c>
      <c r="Q110" s="4">
        <f t="shared" si="118"/>
        <v>0</v>
      </c>
      <c r="R110" s="4">
        <f t="shared" si="118"/>
        <v>0</v>
      </c>
      <c r="S110" s="4">
        <f t="shared" ref="S110:T110" si="151">IF($A110&gt;S$3,0,S109-S362)</f>
        <v>0</v>
      </c>
      <c r="T110" s="4">
        <f t="shared" si="151"/>
        <v>0</v>
      </c>
      <c r="U110" s="4">
        <f t="shared" ref="U110" si="152">IF($A110&gt;U$3,0,U109-U362)</f>
        <v>0</v>
      </c>
    </row>
    <row r="111" spans="1:21" x14ac:dyDescent="0.3">
      <c r="A111">
        <f t="shared" si="51"/>
        <v>56</v>
      </c>
      <c r="B111" s="1">
        <f>VLOOKUP(A111,dates!A:B,2,0)</f>
        <v>46631</v>
      </c>
      <c r="C111" s="4">
        <f t="shared" si="111"/>
        <v>0</v>
      </c>
      <c r="D111" s="4">
        <f t="shared" si="112"/>
        <v>0</v>
      </c>
      <c r="E111" s="4">
        <f t="shared" si="113"/>
        <v>0</v>
      </c>
      <c r="F111" s="4">
        <f t="shared" si="114"/>
        <v>0</v>
      </c>
      <c r="G111" s="4">
        <f t="shared" si="115"/>
        <v>0</v>
      </c>
      <c r="H111" s="4">
        <f t="shared" si="116"/>
        <v>0</v>
      </c>
      <c r="I111" s="4">
        <f t="shared" si="117"/>
        <v>0</v>
      </c>
      <c r="J111" s="4">
        <f t="shared" si="118"/>
        <v>0</v>
      </c>
      <c r="K111" s="4">
        <f t="shared" si="118"/>
        <v>0</v>
      </c>
      <c r="L111" s="4">
        <f t="shared" si="118"/>
        <v>0</v>
      </c>
      <c r="M111" s="4">
        <f t="shared" si="118"/>
        <v>0</v>
      </c>
      <c r="N111" s="4">
        <f t="shared" si="118"/>
        <v>0</v>
      </c>
      <c r="O111" s="4">
        <f t="shared" si="118"/>
        <v>0</v>
      </c>
      <c r="P111" s="4">
        <f t="shared" si="118"/>
        <v>0</v>
      </c>
      <c r="Q111" s="4">
        <f t="shared" si="118"/>
        <v>0</v>
      </c>
      <c r="R111" s="4">
        <f t="shared" si="118"/>
        <v>0</v>
      </c>
      <c r="S111" s="4">
        <f t="shared" ref="S111:T111" si="153">IF($A111&gt;S$3,0,S110-S363)</f>
        <v>0</v>
      </c>
      <c r="T111" s="4">
        <f t="shared" si="153"/>
        <v>0</v>
      </c>
      <c r="U111" s="4">
        <f t="shared" ref="U111" si="154">IF($A111&gt;U$3,0,U110-U363)</f>
        <v>0</v>
      </c>
    </row>
    <row r="112" spans="1:21" x14ac:dyDescent="0.3">
      <c r="A112">
        <f t="shared" si="51"/>
        <v>57</v>
      </c>
      <c r="B112" s="1">
        <f>VLOOKUP(A112,dates!A:B,2,0)</f>
        <v>46661</v>
      </c>
      <c r="C112" s="4">
        <f t="shared" si="111"/>
        <v>0</v>
      </c>
      <c r="D112" s="4">
        <f t="shared" si="112"/>
        <v>0</v>
      </c>
      <c r="E112" s="4">
        <f t="shared" si="113"/>
        <v>0</v>
      </c>
      <c r="F112" s="4">
        <f t="shared" si="114"/>
        <v>0</v>
      </c>
      <c r="G112" s="4">
        <f t="shared" si="115"/>
        <v>0</v>
      </c>
      <c r="H112" s="4">
        <f t="shared" si="116"/>
        <v>0</v>
      </c>
      <c r="I112" s="4">
        <f t="shared" si="117"/>
        <v>0</v>
      </c>
      <c r="J112" s="4">
        <f t="shared" si="118"/>
        <v>0</v>
      </c>
      <c r="K112" s="4">
        <f t="shared" si="118"/>
        <v>0</v>
      </c>
      <c r="L112" s="4">
        <f t="shared" si="118"/>
        <v>0</v>
      </c>
      <c r="M112" s="4">
        <f t="shared" si="118"/>
        <v>0</v>
      </c>
      <c r="N112" s="4">
        <f t="shared" si="118"/>
        <v>0</v>
      </c>
      <c r="O112" s="4">
        <f t="shared" si="118"/>
        <v>0</v>
      </c>
      <c r="P112" s="4">
        <f t="shared" si="118"/>
        <v>0</v>
      </c>
      <c r="Q112" s="4">
        <f t="shared" si="118"/>
        <v>0</v>
      </c>
      <c r="R112" s="4">
        <f t="shared" si="118"/>
        <v>0</v>
      </c>
      <c r="S112" s="4">
        <f t="shared" ref="S112:T112" si="155">IF($A112&gt;S$3,0,S111-S364)</f>
        <v>0</v>
      </c>
      <c r="T112" s="4">
        <f t="shared" si="155"/>
        <v>0</v>
      </c>
      <c r="U112" s="4">
        <f t="shared" ref="U112" si="156">IF($A112&gt;U$3,0,U111-U364)</f>
        <v>0</v>
      </c>
    </row>
    <row r="113" spans="1:21" x14ac:dyDescent="0.3">
      <c r="A113">
        <f t="shared" si="51"/>
        <v>58</v>
      </c>
      <c r="B113" s="1">
        <f>VLOOKUP(A113,dates!A:B,2,0)</f>
        <v>46692</v>
      </c>
      <c r="C113" s="4">
        <f t="shared" si="111"/>
        <v>0</v>
      </c>
      <c r="D113" s="4">
        <f t="shared" si="112"/>
        <v>0</v>
      </c>
      <c r="E113" s="4">
        <f t="shared" si="113"/>
        <v>0</v>
      </c>
      <c r="F113" s="4">
        <f t="shared" si="114"/>
        <v>0</v>
      </c>
      <c r="G113" s="4">
        <f t="shared" si="115"/>
        <v>0</v>
      </c>
      <c r="H113" s="4">
        <f t="shared" si="116"/>
        <v>0</v>
      </c>
      <c r="I113" s="4">
        <f t="shared" si="117"/>
        <v>0</v>
      </c>
      <c r="J113" s="4">
        <f t="shared" si="118"/>
        <v>0</v>
      </c>
      <c r="K113" s="4">
        <f t="shared" si="118"/>
        <v>0</v>
      </c>
      <c r="L113" s="4">
        <f t="shared" si="118"/>
        <v>0</v>
      </c>
      <c r="M113" s="4">
        <f t="shared" si="118"/>
        <v>0</v>
      </c>
      <c r="N113" s="4">
        <f t="shared" si="118"/>
        <v>0</v>
      </c>
      <c r="O113" s="4">
        <f t="shared" si="118"/>
        <v>0</v>
      </c>
      <c r="P113" s="4">
        <f t="shared" si="118"/>
        <v>0</v>
      </c>
      <c r="Q113" s="4">
        <f t="shared" si="118"/>
        <v>0</v>
      </c>
      <c r="R113" s="4">
        <f t="shared" si="118"/>
        <v>0</v>
      </c>
      <c r="S113" s="4">
        <f t="shared" ref="S113:T113" si="157">IF($A113&gt;S$3,0,S112-S365)</f>
        <v>0</v>
      </c>
      <c r="T113" s="4">
        <f t="shared" si="157"/>
        <v>0</v>
      </c>
      <c r="U113" s="4">
        <f t="shared" ref="U113" si="158">IF($A113&gt;U$3,0,U112-U365)</f>
        <v>0</v>
      </c>
    </row>
    <row r="114" spans="1:21" x14ac:dyDescent="0.3">
      <c r="A114">
        <f t="shared" si="51"/>
        <v>59</v>
      </c>
      <c r="B114" s="1">
        <f>VLOOKUP(A114,dates!A:B,2,0)</f>
        <v>46722</v>
      </c>
      <c r="C114" s="4">
        <f t="shared" si="111"/>
        <v>0</v>
      </c>
      <c r="D114" s="4">
        <f t="shared" si="112"/>
        <v>0</v>
      </c>
      <c r="E114" s="4">
        <f t="shared" si="113"/>
        <v>0</v>
      </c>
      <c r="F114" s="4">
        <f t="shared" si="114"/>
        <v>0</v>
      </c>
      <c r="G114" s="4">
        <f t="shared" si="115"/>
        <v>0</v>
      </c>
      <c r="H114" s="4">
        <f t="shared" si="116"/>
        <v>0</v>
      </c>
      <c r="I114" s="4">
        <f t="shared" si="117"/>
        <v>0</v>
      </c>
      <c r="J114" s="4">
        <f t="shared" si="118"/>
        <v>0</v>
      </c>
      <c r="K114" s="4">
        <f t="shared" si="118"/>
        <v>0</v>
      </c>
      <c r="L114" s="4">
        <f t="shared" si="118"/>
        <v>0</v>
      </c>
      <c r="M114" s="4">
        <f t="shared" si="118"/>
        <v>0</v>
      </c>
      <c r="N114" s="4">
        <f t="shared" si="118"/>
        <v>0</v>
      </c>
      <c r="O114" s="4">
        <f t="shared" si="118"/>
        <v>0</v>
      </c>
      <c r="P114" s="4">
        <f t="shared" si="118"/>
        <v>0</v>
      </c>
      <c r="Q114" s="4">
        <f t="shared" si="118"/>
        <v>0</v>
      </c>
      <c r="R114" s="4">
        <f t="shared" si="118"/>
        <v>0</v>
      </c>
      <c r="S114" s="4">
        <f t="shared" ref="S114:T114" si="159">IF($A114&gt;S$3,0,S113-S366)</f>
        <v>0</v>
      </c>
      <c r="T114" s="4">
        <f t="shared" si="159"/>
        <v>0</v>
      </c>
      <c r="U114" s="4">
        <f t="shared" ref="U114" si="160">IF($A114&gt;U$3,0,U113-U366)</f>
        <v>0</v>
      </c>
    </row>
    <row r="115" spans="1:21" x14ac:dyDescent="0.3">
      <c r="A115">
        <f t="shared" si="51"/>
        <v>60</v>
      </c>
      <c r="B115" s="1">
        <f>VLOOKUP(A115,dates!A:B,2,0)</f>
        <v>46753</v>
      </c>
      <c r="C115" s="4">
        <f t="shared" si="111"/>
        <v>0</v>
      </c>
      <c r="D115" s="4">
        <f t="shared" si="112"/>
        <v>0</v>
      </c>
      <c r="E115" s="4">
        <f t="shared" si="113"/>
        <v>0</v>
      </c>
      <c r="F115" s="4">
        <f t="shared" si="114"/>
        <v>0</v>
      </c>
      <c r="G115" s="4">
        <f t="shared" si="115"/>
        <v>0</v>
      </c>
      <c r="H115" s="4">
        <f t="shared" si="116"/>
        <v>0</v>
      </c>
      <c r="I115" s="4">
        <f t="shared" si="117"/>
        <v>0</v>
      </c>
      <c r="J115" s="4">
        <f t="shared" si="118"/>
        <v>0</v>
      </c>
      <c r="K115" s="4">
        <f t="shared" si="118"/>
        <v>0</v>
      </c>
      <c r="L115" s="4">
        <f t="shared" si="118"/>
        <v>0</v>
      </c>
      <c r="M115" s="4">
        <f t="shared" si="118"/>
        <v>0</v>
      </c>
      <c r="N115" s="4">
        <f t="shared" si="118"/>
        <v>0</v>
      </c>
      <c r="O115" s="4">
        <f t="shared" si="118"/>
        <v>0</v>
      </c>
      <c r="P115" s="4">
        <f t="shared" si="118"/>
        <v>0</v>
      </c>
      <c r="Q115" s="4">
        <f t="shared" si="118"/>
        <v>0</v>
      </c>
      <c r="R115" s="4">
        <f t="shared" si="118"/>
        <v>0</v>
      </c>
      <c r="S115" s="4">
        <f t="shared" ref="S115:T115" si="161">IF($A115&gt;S$3,0,S114-S367)</f>
        <v>0</v>
      </c>
      <c r="T115" s="4">
        <f t="shared" si="161"/>
        <v>0</v>
      </c>
      <c r="U115" s="4">
        <f t="shared" ref="U115" si="162">IF($A115&gt;U$3,0,U114-U367)</f>
        <v>0</v>
      </c>
    </row>
    <row r="117" spans="1:21" x14ac:dyDescent="0.3">
      <c r="A117" t="s">
        <v>14</v>
      </c>
      <c r="B117" t="s">
        <v>13</v>
      </c>
      <c r="C117" s="3" t="s">
        <v>8</v>
      </c>
      <c r="D117" s="3" t="s">
        <v>8</v>
      </c>
      <c r="E117" s="3" t="s">
        <v>8</v>
      </c>
      <c r="F117" s="3" t="s">
        <v>8</v>
      </c>
      <c r="G117" s="3" t="s">
        <v>8</v>
      </c>
      <c r="H117" s="3" t="s">
        <v>8</v>
      </c>
      <c r="I117" s="3" t="s">
        <v>8</v>
      </c>
      <c r="J117" s="3" t="s">
        <v>8</v>
      </c>
      <c r="K117" s="3" t="s">
        <v>8</v>
      </c>
      <c r="L117" s="3" t="s">
        <v>8</v>
      </c>
      <c r="M117" s="3" t="s">
        <v>8</v>
      </c>
      <c r="N117" s="3" t="s">
        <v>8</v>
      </c>
      <c r="O117" s="3" t="s">
        <v>8</v>
      </c>
      <c r="P117" s="3" t="s">
        <v>8</v>
      </c>
      <c r="Q117" s="3" t="s">
        <v>8</v>
      </c>
      <c r="R117" s="3" t="s">
        <v>8</v>
      </c>
      <c r="S117" s="3" t="s">
        <v>8</v>
      </c>
      <c r="T117" s="3" t="s">
        <v>8</v>
      </c>
      <c r="U117" s="3" t="s">
        <v>8</v>
      </c>
    </row>
    <row r="118" spans="1:21" x14ac:dyDescent="0.3">
      <c r="A118">
        <v>0</v>
      </c>
      <c r="B118" s="1">
        <f>VLOOKUP(A118,dates!A:B,2,0)</f>
        <v>44927</v>
      </c>
    </row>
    <row r="119" spans="1:21" x14ac:dyDescent="0.3">
      <c r="A119">
        <v>1</v>
      </c>
      <c r="B119" s="1">
        <f>VLOOKUP(A119,dates!A:B,2,0)</f>
        <v>44958</v>
      </c>
      <c r="C119" s="4">
        <f t="shared" ref="C119:J128" si="163">IF($A56&gt;C$3,0,C55*$C$5)</f>
        <v>100</v>
      </c>
      <c r="D119" s="4">
        <f t="shared" si="163"/>
        <v>100</v>
      </c>
      <c r="E119" s="4">
        <f t="shared" si="163"/>
        <v>100</v>
      </c>
      <c r="F119" s="4">
        <f t="shared" si="163"/>
        <v>100</v>
      </c>
      <c r="G119" s="4">
        <f t="shared" si="163"/>
        <v>100</v>
      </c>
      <c r="H119" s="4">
        <f t="shared" si="163"/>
        <v>100</v>
      </c>
      <c r="I119" s="4">
        <f t="shared" si="163"/>
        <v>100</v>
      </c>
      <c r="J119" s="4">
        <f t="shared" si="163"/>
        <v>100</v>
      </c>
      <c r="K119" s="4">
        <f t="shared" ref="K119:S119" si="164">IF($A56&gt;K$3,0,K55*$C$5)</f>
        <v>100</v>
      </c>
      <c r="L119" s="4">
        <f t="shared" si="164"/>
        <v>100</v>
      </c>
      <c r="M119" s="4">
        <f t="shared" si="164"/>
        <v>100</v>
      </c>
      <c r="N119" s="4">
        <f t="shared" si="164"/>
        <v>100</v>
      </c>
      <c r="O119" s="4">
        <f t="shared" si="164"/>
        <v>100</v>
      </c>
      <c r="P119" s="4">
        <f t="shared" si="164"/>
        <v>100</v>
      </c>
      <c r="Q119" s="4">
        <f t="shared" si="164"/>
        <v>100</v>
      </c>
      <c r="R119" s="4">
        <f t="shared" si="164"/>
        <v>100</v>
      </c>
      <c r="S119" s="4">
        <f t="shared" si="164"/>
        <v>100</v>
      </c>
      <c r="T119" s="4">
        <f t="shared" ref="T119:U119" si="165">IF($A56&gt;T$3,0,T55*$C$5)</f>
        <v>100</v>
      </c>
      <c r="U119" s="4">
        <f t="shared" si="165"/>
        <v>100</v>
      </c>
    </row>
    <row r="120" spans="1:21" x14ac:dyDescent="0.3">
      <c r="A120">
        <f t="shared" ref="A120:A178" si="166">A119+1</f>
        <v>2</v>
      </c>
      <c r="B120" s="1">
        <f>VLOOKUP(A120,dates!A:B,2,0)</f>
        <v>44986</v>
      </c>
      <c r="C120" s="4">
        <f t="shared" si="163"/>
        <v>66.096268749779966</v>
      </c>
      <c r="D120" s="4">
        <f t="shared" si="163"/>
        <v>82.866838502802764</v>
      </c>
      <c r="E120" s="4">
        <f t="shared" si="163"/>
        <v>88.454231655023804</v>
      </c>
      <c r="F120" s="4">
        <f t="shared" si="163"/>
        <v>89.571151237077729</v>
      </c>
      <c r="G120" s="4">
        <f t="shared" si="163"/>
        <v>91.245832230771484</v>
      </c>
      <c r="H120" s="4">
        <f t="shared" si="163"/>
        <v>92.91911753661573</v>
      </c>
      <c r="I120" s="4">
        <f t="shared" si="163"/>
        <v>94.033247091263462</v>
      </c>
      <c r="J120" s="4">
        <f t="shared" si="163"/>
        <v>95.422779777582804</v>
      </c>
      <c r="K120" s="4">
        <f t="shared" ref="K120:S120" si="167">IF($A57&gt;K$3,0,K56*$C$5)</f>
        <v>96.804012847167257</v>
      </c>
      <c r="L120" s="4">
        <f t="shared" si="167"/>
        <v>66.096268749779966</v>
      </c>
      <c r="M120" s="4">
        <f t="shared" si="167"/>
        <v>82.619442538862387</v>
      </c>
      <c r="N120" s="4">
        <f t="shared" si="167"/>
        <v>88.122750368132373</v>
      </c>
      <c r="O120" s="4">
        <f t="shared" si="167"/>
        <v>89.222417713488909</v>
      </c>
      <c r="P120" s="4">
        <f t="shared" si="167"/>
        <v>90.870596791425342</v>
      </c>
      <c r="Q120" s="4">
        <f t="shared" si="167"/>
        <v>92.516966123766764</v>
      </c>
      <c r="R120" s="4">
        <f t="shared" si="167"/>
        <v>93.611796556508651</v>
      </c>
      <c r="S120" s="4">
        <f t="shared" si="167"/>
        <v>94.975791001811345</v>
      </c>
      <c r="T120" s="4">
        <f t="shared" ref="T120:U120" si="168">IF($A57&gt;T$3,0,T56*$C$5)</f>
        <v>96.325982684249482</v>
      </c>
      <c r="U120" s="4">
        <f t="shared" si="168"/>
        <v>92.163822617208297</v>
      </c>
    </row>
    <row r="121" spans="1:21" x14ac:dyDescent="0.3">
      <c r="A121">
        <f t="shared" si="166"/>
        <v>3</v>
      </c>
      <c r="B121" s="1">
        <f>VLOOKUP(A121,dates!A:B,2,0)</f>
        <v>45017</v>
      </c>
      <c r="C121" s="4">
        <f t="shared" si="163"/>
        <v>32.090826305809273</v>
      </c>
      <c r="D121" s="4">
        <f t="shared" si="163"/>
        <v>65.682277521113946</v>
      </c>
      <c r="E121" s="4">
        <f t="shared" si="163"/>
        <v>76.87382600501266</v>
      </c>
      <c r="F121" s="4">
        <f t="shared" si="163"/>
        <v>79.111015927866688</v>
      </c>
      <c r="G121" s="4">
        <f t="shared" si="163"/>
        <v>82.46540195823529</v>
      </c>
      <c r="H121" s="4">
        <f t="shared" si="163"/>
        <v>85.816992425841292</v>
      </c>
      <c r="I121" s="4">
        <f t="shared" si="163"/>
        <v>88.048593923800709</v>
      </c>
      <c r="J121" s="4">
        <f t="shared" si="163"/>
        <v>90.831827894498346</v>
      </c>
      <c r="K121" s="4">
        <f t="shared" ref="K121:S121" si="169">IF($A58&gt;K$3,0,K57*$C$5)</f>
        <v>93.598437732875993</v>
      </c>
      <c r="L121" s="4">
        <f t="shared" si="169"/>
        <v>32.090826305809273</v>
      </c>
      <c r="M121" s="4">
        <f t="shared" si="169"/>
        <v>65.186743405341346</v>
      </c>
      <c r="N121" s="4">
        <f t="shared" si="169"/>
        <v>76.209868987369134</v>
      </c>
      <c r="O121" s="4">
        <f t="shared" si="169"/>
        <v>78.412502680118266</v>
      </c>
      <c r="P121" s="4">
        <f t="shared" si="169"/>
        <v>81.713805373224957</v>
      </c>
      <c r="Q121" s="4">
        <f t="shared" si="169"/>
        <v>85.011483145904819</v>
      </c>
      <c r="R121" s="4">
        <f t="shared" si="169"/>
        <v>87.204428502686824</v>
      </c>
      <c r="S121" s="4">
        <f t="shared" si="169"/>
        <v>89.936509376628109</v>
      </c>
      <c r="T121" s="4">
        <f t="shared" ref="T121:U121" si="170">IF($A58&gt;T$3,0,T57*$C$5)</f>
        <v>92.640943316551713</v>
      </c>
      <c r="U121" s="4">
        <f t="shared" si="170"/>
        <v>84.304136702268224</v>
      </c>
    </row>
    <row r="122" spans="1:21" x14ac:dyDescent="0.3">
      <c r="A122">
        <f t="shared" si="166"/>
        <v>4</v>
      </c>
      <c r="B122" s="1">
        <f>VLOOKUP(A122,dates!A:B,2,0)</f>
        <v>45047</v>
      </c>
      <c r="C122" s="4">
        <f t="shared" si="163"/>
        <v>0</v>
      </c>
      <c r="D122" s="4">
        <f t="shared" si="163"/>
        <v>48.446162856480058</v>
      </c>
      <c r="E122" s="4">
        <f t="shared" si="163"/>
        <v>65.258679138051491</v>
      </c>
      <c r="F122" s="4">
        <f t="shared" si="163"/>
        <v>68.619500212728013</v>
      </c>
      <c r="G122" s="4">
        <f t="shared" si="163"/>
        <v>73.658630394881499</v>
      </c>
      <c r="H122" s="4">
        <f t="shared" si="163"/>
        <v>78.693560939734539</v>
      </c>
      <c r="I122" s="4">
        <f t="shared" si="163"/>
        <v>82.045986796835564</v>
      </c>
      <c r="J122" s="4">
        <f t="shared" si="163"/>
        <v>86.227103155764638</v>
      </c>
      <c r="K122" s="4">
        <f t="shared" ref="K122:S122" si="171">IF($A59&gt;K$3,0,K58*$C$5)</f>
        <v>90.383245893241863</v>
      </c>
      <c r="L122" s="4">
        <f t="shared" si="171"/>
        <v>0</v>
      </c>
      <c r="M122" s="4">
        <f t="shared" si="171"/>
        <v>47.701746174419753</v>
      </c>
      <c r="N122" s="4">
        <f t="shared" si="171"/>
        <v>64.261248962463611</v>
      </c>
      <c r="O122" s="4">
        <f t="shared" si="171"/>
        <v>67.570157901647519</v>
      </c>
      <c r="P122" s="4">
        <f t="shared" si="171"/>
        <v>72.529543580769982</v>
      </c>
      <c r="Q122" s="4">
        <f t="shared" si="171"/>
        <v>77.483483719109302</v>
      </c>
      <c r="R122" s="4">
        <f t="shared" si="171"/>
        <v>80.77783834470354</v>
      </c>
      <c r="S122" s="4">
        <f t="shared" si="171"/>
        <v>84.882109906569326</v>
      </c>
      <c r="T122" s="4">
        <f t="shared" ref="T122:U122" si="172">IF($A59&gt;T$3,0,T58*$C$5)</f>
        <v>88.944848830750857</v>
      </c>
      <c r="U122" s="4">
        <f t="shared" si="172"/>
        <v>76.42087172958334</v>
      </c>
    </row>
    <row r="123" spans="1:21" x14ac:dyDescent="0.3">
      <c r="A123">
        <f t="shared" si="166"/>
        <v>5</v>
      </c>
      <c r="B123" s="1">
        <f>VLOOKUP(A123,dates!A:B,2,0)</f>
        <v>45078</v>
      </c>
      <c r="C123" s="4">
        <f t="shared" si="163"/>
        <v>0</v>
      </c>
      <c r="D123" s="4">
        <f t="shared" si="163"/>
        <v>31.158339847852268</v>
      </c>
      <c r="E123" s="4">
        <f t="shared" si="163"/>
        <v>53.60868683048944</v>
      </c>
      <c r="F123" s="4">
        <f t="shared" si="163"/>
        <v>58.096509950443917</v>
      </c>
      <c r="G123" s="4">
        <f t="shared" si="163"/>
        <v>64.825438516837636</v>
      </c>
      <c r="H123" s="4">
        <f t="shared" si="163"/>
        <v>71.548759159169464</v>
      </c>
      <c r="I123" s="4">
        <f t="shared" si="163"/>
        <v>76.025371848489527</v>
      </c>
      <c r="J123" s="4">
        <f t="shared" si="163"/>
        <v>81.608564242814722</v>
      </c>
      <c r="K123" s="4">
        <f t="shared" ref="K123:S123" si="173">IF($A60&gt;K$3,0,K59*$C$5)</f>
        <v>87.15840847808883</v>
      </c>
      <c r="L123" s="4">
        <f t="shared" si="173"/>
        <v>0</v>
      </c>
      <c r="M123" s="4">
        <f t="shared" si="173"/>
        <v>30.164293951805384</v>
      </c>
      <c r="N123" s="4">
        <f t="shared" si="173"/>
        <v>52.27678307748338</v>
      </c>
      <c r="O123" s="4">
        <f t="shared" si="173"/>
        <v>56.69528608884135</v>
      </c>
      <c r="P123" s="4">
        <f t="shared" si="173"/>
        <v>63.317729002937632</v>
      </c>
      <c r="Q123" s="4">
        <f t="shared" si="173"/>
        <v>69.932900294033388</v>
      </c>
      <c r="R123" s="4">
        <f t="shared" si="173"/>
        <v>74.331968416246298</v>
      </c>
      <c r="S123" s="4">
        <f t="shared" si="173"/>
        <v>79.812547238100379</v>
      </c>
      <c r="T123" s="4">
        <f t="shared" ref="T123:U123" si="174">IF($A60&gt;T$3,0,T59*$C$5)</f>
        <v>85.23766606149259</v>
      </c>
      <c r="U123" s="4">
        <f t="shared" si="174"/>
        <v>68.513956961980384</v>
      </c>
    </row>
    <row r="124" spans="1:21" x14ac:dyDescent="0.3">
      <c r="A124">
        <f t="shared" si="166"/>
        <v>6</v>
      </c>
      <c r="B124" s="1">
        <f>VLOOKUP(A124,dates!A:B,2,0)</f>
        <v>45108</v>
      </c>
      <c r="C124" s="4">
        <f t="shared" si="163"/>
        <v>0</v>
      </c>
      <c r="D124" s="4">
        <f t="shared" si="163"/>
        <v>13.818653370198593</v>
      </c>
      <c r="E124" s="4">
        <f t="shared" si="163"/>
        <v>41.923744546004713</v>
      </c>
      <c r="F124" s="4">
        <f t="shared" si="163"/>
        <v>47.541950717372977</v>
      </c>
      <c r="G124" s="4">
        <f t="shared" si="163"/>
        <v>55.965747063159633</v>
      </c>
      <c r="H124" s="4">
        <f t="shared" si="163"/>
        <v>64.382522973262695</v>
      </c>
      <c r="I124" s="4">
        <f t="shared" si="163"/>
        <v>69.986695055298455</v>
      </c>
      <c r="J124" s="4">
        <f t="shared" si="163"/>
        <v>76.976169713125969</v>
      </c>
      <c r="K124" s="4">
        <f t="shared" ref="K124:S124" si="175">IF($A61&gt;K$3,0,K60*$C$5)</f>
        <v>83.92389655069033</v>
      </c>
      <c r="L124" s="4">
        <f t="shared" si="175"/>
        <v>0</v>
      </c>
      <c r="M124" s="4">
        <f t="shared" si="175"/>
        <v>12.574229372523178</v>
      </c>
      <c r="N124" s="4">
        <f t="shared" si="175"/>
        <v>40.256363794848205</v>
      </c>
      <c r="O124" s="4">
        <f t="shared" si="175"/>
        <v>45.787789660596772</v>
      </c>
      <c r="P124" s="4">
        <f t="shared" si="175"/>
        <v>54.078278981371788</v>
      </c>
      <c r="Q124" s="4">
        <f t="shared" si="175"/>
        <v>62.359665118682244</v>
      </c>
      <c r="R124" s="4">
        <f t="shared" si="175"/>
        <v>67.866760878003674</v>
      </c>
      <c r="S124" s="4">
        <f t="shared" si="175"/>
        <v>74.727775881626016</v>
      </c>
      <c r="T124" s="4">
        <f t="shared" ref="T124:U124" si="176">IF($A61&gt;T$3,0,T60*$C$5)</f>
        <v>81.519361743926538</v>
      </c>
      <c r="U124" s="4">
        <f t="shared" si="176"/>
        <v>60.583321450074628</v>
      </c>
    </row>
    <row r="125" spans="1:21" x14ac:dyDescent="0.3">
      <c r="A125">
        <f t="shared" si="166"/>
        <v>7</v>
      </c>
      <c r="B125" s="1">
        <f>VLOOKUP(A125,dates!A:B,2,0)</f>
        <v>45139</v>
      </c>
      <c r="C125" s="4">
        <f t="shared" si="163"/>
        <v>0</v>
      </c>
      <c r="D125" s="4">
        <f t="shared" si="163"/>
        <v>0</v>
      </c>
      <c r="E125" s="4">
        <f t="shared" si="163"/>
        <v>30.203747434666521</v>
      </c>
      <c r="F125" s="4">
        <f t="shared" si="163"/>
        <v>36.955727806602816</v>
      </c>
      <c r="G125" s="4">
        <f t="shared" si="163"/>
        <v>47.079476535120605</v>
      </c>
      <c r="H125" s="4">
        <f t="shared" si="163"/>
        <v>57.194788078798204</v>
      </c>
      <c r="I125" s="4">
        <f t="shared" si="163"/>
        <v>63.929902231727809</v>
      </c>
      <c r="J125" s="4">
        <f t="shared" si="163"/>
        <v>72.329877999848136</v>
      </c>
      <c r="K125" s="4">
        <f t="shared" ref="K125:S125" si="177">IF($A62&gt;K$3,0,K61*$C$5)</f>
        <v>80.67968108750965</v>
      </c>
      <c r="L125" s="4">
        <f t="shared" si="177"/>
        <v>0</v>
      </c>
      <c r="M125" s="4">
        <f t="shared" si="177"/>
        <v>0</v>
      </c>
      <c r="N125" s="4">
        <f t="shared" si="177"/>
        <v>28.199883254365123</v>
      </c>
      <c r="O125" s="4">
        <f t="shared" si="177"/>
        <v>34.847570743067457</v>
      </c>
      <c r="P125" s="4">
        <f t="shared" si="177"/>
        <v>44.811110609741249</v>
      </c>
      <c r="Q125" s="4">
        <f t="shared" si="177"/>
        <v>54.763710237805043</v>
      </c>
      <c r="R125" s="4">
        <f t="shared" si="177"/>
        <v>61.382157717146328</v>
      </c>
      <c r="S125" s="4">
        <f t="shared" si="177"/>
        <v>69.627750211082244</v>
      </c>
      <c r="T125" s="4">
        <f t="shared" ref="T125:U125" si="178">IF($A62&gt;T$3,0,T61*$C$5)</f>
        <v>77.789902513407796</v>
      </c>
      <c r="U125" s="4">
        <f t="shared" si="178"/>
        <v>52.628894031633152</v>
      </c>
    </row>
    <row r="126" spans="1:21" x14ac:dyDescent="0.3">
      <c r="A126">
        <f t="shared" si="166"/>
        <v>8</v>
      </c>
      <c r="B126" s="1">
        <f>VLOOKUP(A126,dates!A:B,2,0)</f>
        <v>45170</v>
      </c>
      <c r="C126" s="4">
        <f t="shared" si="163"/>
        <v>0</v>
      </c>
      <c r="D126" s="4">
        <f t="shared" si="163"/>
        <v>0</v>
      </c>
      <c r="E126" s="4">
        <f t="shared" si="163"/>
        <v>18.448590331994318</v>
      </c>
      <c r="F126" s="4">
        <f t="shared" si="163"/>
        <v>26.337746227100354</v>
      </c>
      <c r="G126" s="4">
        <f t="shared" si="163"/>
        <v>38.166547195497458</v>
      </c>
      <c r="H126" s="4">
        <f t="shared" si="163"/>
        <v>49.985489979650318</v>
      </c>
      <c r="I126" s="4">
        <f t="shared" si="163"/>
        <v>57.854939029686449</v>
      </c>
      <c r="J126" s="4">
        <f t="shared" si="163"/>
        <v>67.669647411430475</v>
      </c>
      <c r="K126" s="4">
        <f t="shared" ref="K126:S126" si="179">IF($A63&gt;K$3,0,K62*$C$5)</f>
        <v>77.425732977939433</v>
      </c>
      <c r="L126" s="4">
        <f t="shared" si="179"/>
        <v>0</v>
      </c>
      <c r="M126" s="4">
        <f t="shared" si="179"/>
        <v>0</v>
      </c>
      <c r="N126" s="4">
        <f t="shared" si="179"/>
        <v>16.10723327226059</v>
      </c>
      <c r="O126" s="4">
        <f t="shared" si="179"/>
        <v>23.874531168785555</v>
      </c>
      <c r="P126" s="4">
        <f t="shared" si="179"/>
        <v>35.516140732995808</v>
      </c>
      <c r="Q126" s="4">
        <f t="shared" si="179"/>
        <v>47.144967492285211</v>
      </c>
      <c r="R126" s="4">
        <f t="shared" si="179"/>
        <v>54.87810074680641</v>
      </c>
      <c r="S126" s="4">
        <f t="shared" si="179"/>
        <v>64.512424463526827</v>
      </c>
      <c r="T126" s="4">
        <f t="shared" ref="T126:U126" si="180">IF($A63&gt;T$3,0,T62*$C$5)</f>
        <v>74.0492549051975</v>
      </c>
      <c r="U126" s="4">
        <f t="shared" si="180"/>
        <v>44.650603330936356</v>
      </c>
    </row>
    <row r="127" spans="1:21" x14ac:dyDescent="0.3">
      <c r="A127">
        <f t="shared" si="166"/>
        <v>9</v>
      </c>
      <c r="B127" s="1">
        <f>VLOOKUP(A127,dates!A:B,2,0)</f>
        <v>45200</v>
      </c>
      <c r="C127" s="4">
        <f t="shared" si="163"/>
        <v>0</v>
      </c>
      <c r="D127" s="4">
        <f t="shared" si="163"/>
        <v>0</v>
      </c>
      <c r="E127" s="4">
        <f t="shared" si="163"/>
        <v>6.6581677580140965</v>
      </c>
      <c r="F127" s="4">
        <f t="shared" si="163"/>
        <v>15.687910702859378</v>
      </c>
      <c r="G127" s="4">
        <f t="shared" si="163"/>
        <v>29.226879067855442</v>
      </c>
      <c r="H127" s="4">
        <f t="shared" si="163"/>
        <v>42.754563986204992</v>
      </c>
      <c r="I127" s="4">
        <f t="shared" si="163"/>
        <v>51.761750938038972</v>
      </c>
      <c r="J127" s="4">
        <f t="shared" si="163"/>
        <v>62.995436131247573</v>
      </c>
      <c r="K127" s="4">
        <f t="shared" ref="K127:S127" si="181">IF($A64&gt;K$3,0,K63*$C$5)</f>
        <v>74.162023024040494</v>
      </c>
      <c r="L127" s="4">
        <f t="shared" si="181"/>
        <v>0</v>
      </c>
      <c r="M127" s="4">
        <f t="shared" si="181"/>
        <v>0</v>
      </c>
      <c r="N127" s="4">
        <f t="shared" si="181"/>
        <v>3.978305340209745</v>
      </c>
      <c r="O127" s="4">
        <f t="shared" si="181"/>
        <v>12.868572475780807</v>
      </c>
      <c r="P127" s="4">
        <f t="shared" si="181"/>
        <v>26.193285946620136</v>
      </c>
      <c r="Q127" s="4">
        <f t="shared" si="181"/>
        <v>39.503368518528831</v>
      </c>
      <c r="R127" s="4">
        <f t="shared" si="181"/>
        <v>48.354531605555479</v>
      </c>
      <c r="S127" s="4">
        <f t="shared" si="181"/>
        <v>59.381752738728736</v>
      </c>
      <c r="T127" s="4">
        <f t="shared" ref="T127:U127" si="182">IF($A64&gt;T$3,0,T63*$C$5)</f>
        <v>70.297385354162557</v>
      </c>
      <c r="U127" s="4">
        <f t="shared" si="182"/>
        <v>36.648377758137471</v>
      </c>
    </row>
    <row r="128" spans="1:21" x14ac:dyDescent="0.3">
      <c r="A128">
        <f t="shared" si="166"/>
        <v>10</v>
      </c>
      <c r="B128" s="1">
        <f>VLOOKUP(A128,dates!A:B,2,0)</f>
        <v>45231</v>
      </c>
      <c r="C128" s="4">
        <f t="shared" si="163"/>
        <v>0</v>
      </c>
      <c r="D128" s="4">
        <f t="shared" si="163"/>
        <v>0</v>
      </c>
      <c r="E128" s="4">
        <f t="shared" si="163"/>
        <v>0</v>
      </c>
      <c r="F128" s="4">
        <f t="shared" si="163"/>
        <v>5.0061256720456822</v>
      </c>
      <c r="G128" s="4">
        <f t="shared" si="163"/>
        <v>20.260391935830505</v>
      </c>
      <c r="H128" s="4">
        <f t="shared" si="163"/>
        <v>35.501945214779333</v>
      </c>
      <c r="I128" s="4">
        <f t="shared" si="163"/>
        <v>45.650283282116547</v>
      </c>
      <c r="J128" s="4">
        <f t="shared" si="163"/>
        <v>58.307202217224116</v>
      </c>
      <c r="K128" s="4">
        <f t="shared" ref="K128:S128" si="183">IF($A65&gt;K$3,0,K64*$C$5)</f>
        <v>70.888521940279858</v>
      </c>
      <c r="L128" s="4">
        <f t="shared" si="183"/>
        <v>0</v>
      </c>
      <c r="M128" s="4">
        <f t="shared" si="183"/>
        <v>0</v>
      </c>
      <c r="N128" s="4">
        <f t="shared" si="183"/>
        <v>0</v>
      </c>
      <c r="O128" s="4">
        <f t="shared" si="183"/>
        <v>1.8295959066970455</v>
      </c>
      <c r="P128" s="4">
        <f t="shared" si="183"/>
        <v>16.842462595885337</v>
      </c>
      <c r="Q128" s="4">
        <f t="shared" si="183"/>
        <v>31.838844747851173</v>
      </c>
      <c r="R128" s="4">
        <f t="shared" si="183"/>
        <v>41.811391756880788</v>
      </c>
      <c r="S128" s="4">
        <f t="shared" si="183"/>
        <v>54.23568899875626</v>
      </c>
      <c r="T128" s="4">
        <f t="shared" ref="T128:U128" si="184">IF($A65&gt;T$3,0,T64*$C$5)</f>
        <v>66.534260194474527</v>
      </c>
      <c r="U128" s="4">
        <f t="shared" si="184"/>
        <v>28.622145508620182</v>
      </c>
    </row>
    <row r="129" spans="1:21" x14ac:dyDescent="0.3">
      <c r="A129">
        <f t="shared" si="166"/>
        <v>11</v>
      </c>
      <c r="B129" s="1">
        <f>VLOOKUP(A129,dates!A:B,2,0)</f>
        <v>45261</v>
      </c>
      <c r="C129" s="4">
        <f t="shared" ref="C129:J138" si="185">IF($A66&gt;C$3,0,C65*$C$5)</f>
        <v>0</v>
      </c>
      <c r="D129" s="4">
        <f t="shared" si="185"/>
        <v>0</v>
      </c>
      <c r="E129" s="4">
        <f t="shared" si="185"/>
        <v>0</v>
      </c>
      <c r="F129" s="4">
        <f t="shared" si="185"/>
        <v>0</v>
      </c>
      <c r="G129" s="4">
        <f t="shared" si="185"/>
        <v>11.267005342409488</v>
      </c>
      <c r="H129" s="4">
        <f t="shared" si="185"/>
        <v>28.227568587039393</v>
      </c>
      <c r="I129" s="4">
        <f t="shared" si="185"/>
        <v>39.520481223226355</v>
      </c>
      <c r="J129" s="4">
        <f t="shared" si="185"/>
        <v>53.604903601458581</v>
      </c>
      <c r="K129" s="4">
        <f t="shared" ref="K129:S129" si="186">IF($A66&gt;K$3,0,K65*$C$5)</f>
        <v>67.605200353267946</v>
      </c>
      <c r="L129" s="4">
        <f t="shared" si="186"/>
        <v>0</v>
      </c>
      <c r="M129" s="4">
        <f t="shared" si="186"/>
        <v>0</v>
      </c>
      <c r="N129" s="4">
        <f t="shared" si="186"/>
        <v>0</v>
      </c>
      <c r="O129" s="4">
        <f t="shared" si="186"/>
        <v>0</v>
      </c>
      <c r="P129" s="4">
        <f t="shared" si="186"/>
        <v>7.4635867750983325</v>
      </c>
      <c r="Q129" s="4">
        <f t="shared" si="186"/>
        <v>24.151327405861483</v>
      </c>
      <c r="R129" s="4">
        <f t="shared" si="186"/>
        <v>35.248622488660075</v>
      </c>
      <c r="S129" s="4">
        <f t="shared" si="186"/>
        <v>49.074187067563862</v>
      </c>
      <c r="T129" s="4">
        <f t="shared" ref="T129:U129" si="187">IF($A66&gt;T$3,0,T65*$C$5)</f>
        <v>62.75984565930743</v>
      </c>
      <c r="U129" s="4">
        <f t="shared" si="187"/>
        <v>20.571834562354347</v>
      </c>
    </row>
    <row r="130" spans="1:21" x14ac:dyDescent="0.3">
      <c r="A130">
        <f t="shared" si="166"/>
        <v>12</v>
      </c>
      <c r="B130" s="1">
        <f>VLOOKUP(A130,dates!A:B,2,0)</f>
        <v>45292</v>
      </c>
      <c r="C130" s="4">
        <f t="shared" si="185"/>
        <v>0</v>
      </c>
      <c r="D130" s="4">
        <f t="shared" si="185"/>
        <v>0</v>
      </c>
      <c r="E130" s="4">
        <f t="shared" si="185"/>
        <v>0</v>
      </c>
      <c r="F130" s="4">
        <f t="shared" si="185"/>
        <v>0</v>
      </c>
      <c r="G130" s="4">
        <f t="shared" si="185"/>
        <v>2.2466385892082097</v>
      </c>
      <c r="H130" s="4">
        <f t="shared" si="185"/>
        <v>20.931368829416233</v>
      </c>
      <c r="I130" s="4">
        <f t="shared" si="185"/>
        <v>33.372289758159489</v>
      </c>
      <c r="J130" s="4">
        <f t="shared" si="185"/>
        <v>48.888498089845754</v>
      </c>
      <c r="K130" s="4">
        <f t="shared" ref="K130:S130" si="188">IF($A67&gt;K$3,0,K66*$C$5)</f>
        <v>64.312028801495003</v>
      </c>
      <c r="L130" s="4">
        <f t="shared" si="188"/>
        <v>0</v>
      </c>
      <c r="M130" s="4">
        <f t="shared" si="188"/>
        <v>0</v>
      </c>
      <c r="N130" s="4">
        <f t="shared" si="188"/>
        <v>0</v>
      </c>
      <c r="O130" s="4">
        <f t="shared" si="188"/>
        <v>0</v>
      </c>
      <c r="P130" s="4">
        <f t="shared" si="188"/>
        <v>-1.9434256731510322</v>
      </c>
      <c r="Q130" s="4">
        <f t="shared" si="188"/>
        <v>16.440747511845828</v>
      </c>
      <c r="R130" s="4">
        <f t="shared" si="188"/>
        <v>28.666164912634695</v>
      </c>
      <c r="S130" s="4">
        <f t="shared" si="188"/>
        <v>43.897200630577892</v>
      </c>
      <c r="T130" s="4">
        <f t="shared" ref="T130:U130" si="189">IF($A67&gt;T$3,0,T66*$C$5)</f>
        <v>58.974107880534831</v>
      </c>
      <c r="U130" s="4">
        <f t="shared" si="189"/>
        <v>12.497372683249715</v>
      </c>
    </row>
    <row r="131" spans="1:21" x14ac:dyDescent="0.3">
      <c r="A131">
        <f t="shared" si="166"/>
        <v>13</v>
      </c>
      <c r="B131" s="1">
        <f>VLOOKUP(A131,dates!A:B,2,0)</f>
        <v>45323</v>
      </c>
      <c r="C131" s="4">
        <f t="shared" si="185"/>
        <v>0</v>
      </c>
      <c r="D131" s="4">
        <f t="shared" si="185"/>
        <v>0</v>
      </c>
      <c r="E131" s="4">
        <f t="shared" si="185"/>
        <v>0</v>
      </c>
      <c r="F131" s="4">
        <f t="shared" si="185"/>
        <v>0</v>
      </c>
      <c r="G131" s="4">
        <f t="shared" si="185"/>
        <v>0</v>
      </c>
      <c r="H131" s="4">
        <f t="shared" si="185"/>
        <v>13.613280472520206</v>
      </c>
      <c r="I131" s="4">
        <f t="shared" si="185"/>
        <v>27.205653718697427</v>
      </c>
      <c r="J131" s="4">
        <f t="shared" si="185"/>
        <v>44.157943361698088</v>
      </c>
      <c r="K131" s="4">
        <f t="shared" ref="K131:S131" si="190">IF($A68&gt;K$3,0,K67*$C$5)</f>
        <v>61.008977735066729</v>
      </c>
      <c r="L131" s="4">
        <f t="shared" si="190"/>
        <v>0</v>
      </c>
      <c r="M131" s="4">
        <f t="shared" si="190"/>
        <v>0</v>
      </c>
      <c r="N131" s="4">
        <f t="shared" si="190"/>
        <v>0</v>
      </c>
      <c r="O131" s="4">
        <f t="shared" si="190"/>
        <v>0</v>
      </c>
      <c r="P131" s="4">
        <f t="shared" si="190"/>
        <v>0</v>
      </c>
      <c r="Q131" s="4">
        <f t="shared" si="190"/>
        <v>8.7070358781481243</v>
      </c>
      <c r="R131" s="4">
        <f t="shared" si="190"/>
        <v>22.063959963881242</v>
      </c>
      <c r="S131" s="4">
        <f t="shared" si="190"/>
        <v>38.704683234280964</v>
      </c>
      <c r="T131" s="4">
        <f t="shared" ref="T131:U131" si="191">IF($A68&gt;T$3,0,T67*$C$5)</f>
        <v>55.177012888425914</v>
      </c>
      <c r="U131" s="4">
        <f t="shared" si="191"/>
        <v>4.3986874185077669</v>
      </c>
    </row>
    <row r="132" spans="1:21" x14ac:dyDescent="0.3">
      <c r="A132">
        <f t="shared" si="166"/>
        <v>14</v>
      </c>
      <c r="B132" s="1">
        <f>VLOOKUP(A132,dates!A:B,2,0)</f>
        <v>45352</v>
      </c>
      <c r="C132" s="4">
        <f t="shared" si="185"/>
        <v>0</v>
      </c>
      <c r="D132" s="4">
        <f t="shared" si="185"/>
        <v>0</v>
      </c>
      <c r="E132" s="4">
        <f t="shared" si="185"/>
        <v>0</v>
      </c>
      <c r="F132" s="4">
        <f t="shared" si="185"/>
        <v>0</v>
      </c>
      <c r="G132" s="4">
        <f t="shared" si="185"/>
        <v>0</v>
      </c>
      <c r="H132" s="4">
        <f t="shared" si="185"/>
        <v>6.273237850553488</v>
      </c>
      <c r="I132" s="4">
        <f t="shared" si="185"/>
        <v>21.020517771116975</v>
      </c>
      <c r="J132" s="4">
        <f t="shared" si="185"/>
        <v>39.413196969365984</v>
      </c>
      <c r="K132" s="4">
        <f t="shared" ref="K132:S132" si="192">IF($A69&gt;K$3,0,K68*$C$5)</f>
        <v>57.696017515439173</v>
      </c>
      <c r="L132" s="4">
        <f t="shared" si="192"/>
        <v>0</v>
      </c>
      <c r="M132" s="4">
        <f t="shared" si="192"/>
        <v>0</v>
      </c>
      <c r="N132" s="4">
        <f t="shared" si="192"/>
        <v>0</v>
      </c>
      <c r="O132" s="4">
        <f t="shared" si="192"/>
        <v>0</v>
      </c>
      <c r="P132" s="4">
        <f t="shared" si="192"/>
        <v>0</v>
      </c>
      <c r="Q132" s="4">
        <f t="shared" si="192"/>
        <v>0.95012310954932677</v>
      </c>
      <c r="R132" s="4">
        <f t="shared" si="192"/>
        <v>15.441948400281531</v>
      </c>
      <c r="S132" s="4">
        <f t="shared" si="192"/>
        <v>33.496588285795148</v>
      </c>
      <c r="T132" s="4">
        <f t="shared" ref="T132:U132" si="193">IF($A69&gt;T$3,0,T68*$C$5)</f>
        <v>51.36852661134067</v>
      </c>
      <c r="U132" s="4">
        <f t="shared" si="193"/>
        <v>-3.7242939020284052</v>
      </c>
    </row>
    <row r="133" spans="1:21" x14ac:dyDescent="0.3">
      <c r="A133">
        <f t="shared" si="166"/>
        <v>15</v>
      </c>
      <c r="B133" s="1">
        <f>VLOOKUP(A133,dates!A:B,2,0)</f>
        <v>45383</v>
      </c>
      <c r="C133" s="4">
        <f t="shared" si="185"/>
        <v>0</v>
      </c>
      <c r="D133" s="4">
        <f t="shared" si="185"/>
        <v>0</v>
      </c>
      <c r="E133" s="4">
        <f t="shared" si="185"/>
        <v>0</v>
      </c>
      <c r="F133" s="4">
        <f t="shared" si="185"/>
        <v>0</v>
      </c>
      <c r="G133" s="4">
        <f t="shared" si="185"/>
        <v>0</v>
      </c>
      <c r="H133" s="4">
        <f t="shared" si="185"/>
        <v>-1.0888248992791274</v>
      </c>
      <c r="I133" s="4">
        <f t="shared" si="185"/>
        <v>14.816826415693782</v>
      </c>
      <c r="J133" s="4">
        <f t="shared" si="185"/>
        <v>34.654216337856873</v>
      </c>
      <c r="K133" s="4">
        <f t="shared" ref="K133:S133" si="194">IF($A70&gt;K$3,0,K69*$C$5)</f>
        <v>54.373118415152732</v>
      </c>
      <c r="L133" s="4">
        <f t="shared" si="194"/>
        <v>0</v>
      </c>
      <c r="M133" s="4">
        <f t="shared" si="194"/>
        <v>0</v>
      </c>
      <c r="N133" s="4">
        <f t="shared" si="194"/>
        <v>0</v>
      </c>
      <c r="O133" s="4">
        <f t="shared" si="194"/>
        <v>0</v>
      </c>
      <c r="P133" s="4">
        <f t="shared" si="194"/>
        <v>0</v>
      </c>
      <c r="Q133" s="4">
        <f t="shared" si="194"/>
        <v>-6.8300603973552665</v>
      </c>
      <c r="R133" s="4">
        <f t="shared" si="194"/>
        <v>8.800070801991021</v>
      </c>
      <c r="S133" s="4">
        <f t="shared" si="194"/>
        <v>28.272869052463871</v>
      </c>
      <c r="T133" s="4">
        <f t="shared" ref="T133:U133" si="195">IF($A70&gt;T$3,0,T69*$C$5)</f>
        <v>47.548614875424164</v>
      </c>
      <c r="U133" s="4">
        <f t="shared" si="195"/>
        <v>-11.87164416652619</v>
      </c>
    </row>
    <row r="134" spans="1:21" x14ac:dyDescent="0.3">
      <c r="A134">
        <f t="shared" si="166"/>
        <v>16</v>
      </c>
      <c r="B134" s="1">
        <f>VLOOKUP(A134,dates!A:B,2,0)</f>
        <v>45413</v>
      </c>
      <c r="C134" s="4">
        <f t="shared" si="185"/>
        <v>0</v>
      </c>
      <c r="D134" s="4">
        <f t="shared" si="185"/>
        <v>0</v>
      </c>
      <c r="E134" s="4">
        <f t="shared" si="185"/>
        <v>0</v>
      </c>
      <c r="F134" s="4">
        <f t="shared" si="185"/>
        <v>0</v>
      </c>
      <c r="G134" s="4">
        <f t="shared" si="185"/>
        <v>0</v>
      </c>
      <c r="H134" s="4">
        <f t="shared" si="185"/>
        <v>0</v>
      </c>
      <c r="I134" s="4">
        <f t="shared" si="185"/>
        <v>8.5945239862043206</v>
      </c>
      <c r="J134" s="4">
        <f t="shared" si="185"/>
        <v>29.88095876445324</v>
      </c>
      <c r="K134" s="4">
        <f t="shared" ref="K134:S134" si="196">IF($A71&gt;K$3,0,K70*$C$5)</f>
        <v>51.040250617565434</v>
      </c>
      <c r="L134" s="4">
        <f t="shared" si="196"/>
        <v>0</v>
      </c>
      <c r="M134" s="4">
        <f t="shared" si="196"/>
        <v>0</v>
      </c>
      <c r="N134" s="4">
        <f t="shared" si="196"/>
        <v>0</v>
      </c>
      <c r="O134" s="4">
        <f t="shared" si="196"/>
        <v>0</v>
      </c>
      <c r="P134" s="4">
        <f t="shared" si="196"/>
        <v>0</v>
      </c>
      <c r="Q134" s="4">
        <f t="shared" si="196"/>
        <v>0</v>
      </c>
      <c r="R134" s="4">
        <f t="shared" si="196"/>
        <v>2.1382675709056365</v>
      </c>
      <c r="S134" s="4">
        <f t="shared" si="196"/>
        <v>23.0334786614326</v>
      </c>
      <c r="T134" s="4">
        <f t="shared" ref="T134:U134" si="197">IF($A71&gt;T$3,0,T70*$C$5)</f>
        <v>43.717243404299914</v>
      </c>
      <c r="U134" s="4">
        <f t="shared" si="197"/>
        <v>0</v>
      </c>
    </row>
    <row r="135" spans="1:21" x14ac:dyDescent="0.3">
      <c r="A135">
        <f t="shared" si="166"/>
        <v>17</v>
      </c>
      <c r="B135" s="1">
        <f>VLOOKUP(A135,dates!A:B,2,0)</f>
        <v>45444</v>
      </c>
      <c r="C135" s="4">
        <f t="shared" si="185"/>
        <v>0</v>
      </c>
      <c r="D135" s="4">
        <f t="shared" si="185"/>
        <v>0</v>
      </c>
      <c r="E135" s="4">
        <f t="shared" si="185"/>
        <v>0</v>
      </c>
      <c r="F135" s="4">
        <f t="shared" si="185"/>
        <v>0</v>
      </c>
      <c r="G135" s="4">
        <f t="shared" si="185"/>
        <v>0</v>
      </c>
      <c r="H135" s="4">
        <f t="shared" si="185"/>
        <v>0</v>
      </c>
      <c r="I135" s="4">
        <f t="shared" si="185"/>
        <v>2.3535546494263917</v>
      </c>
      <c r="J135" s="4">
        <f t="shared" si="185"/>
        <v>25.093381418329397</v>
      </c>
      <c r="K135" s="4">
        <f t="shared" ref="K135:S135" si="198">IF($A72&gt;K$3,0,K71*$C$5)</f>
        <v>47.697384216585377</v>
      </c>
      <c r="L135" s="4">
        <f t="shared" si="198"/>
        <v>0</v>
      </c>
      <c r="M135" s="4">
        <f t="shared" si="198"/>
        <v>0</v>
      </c>
      <c r="N135" s="4">
        <f t="shared" si="198"/>
        <v>0</v>
      </c>
      <c r="O135" s="4">
        <f t="shared" si="198"/>
        <v>0</v>
      </c>
      <c r="P135" s="4">
        <f t="shared" si="198"/>
        <v>0</v>
      </c>
      <c r="Q135" s="4">
        <f t="shared" si="198"/>
        <v>0</v>
      </c>
      <c r="R135" s="4">
        <f t="shared" si="198"/>
        <v>-4.5435210698730009</v>
      </c>
      <c r="S135" s="4">
        <f t="shared" si="198"/>
        <v>17.778370099228237</v>
      </c>
      <c r="T135" s="4">
        <f t="shared" ref="T135:U135" si="199">IF($A72&gt;T$3,0,T71*$C$5)</f>
        <v>39.874377818762291</v>
      </c>
      <c r="U135" s="4">
        <f t="shared" si="199"/>
        <v>0</v>
      </c>
    </row>
    <row r="136" spans="1:21" x14ac:dyDescent="0.3">
      <c r="A136">
        <f t="shared" si="166"/>
        <v>18</v>
      </c>
      <c r="B136" s="1">
        <f>VLOOKUP(A136,dates!A:B,2,0)</f>
        <v>45474</v>
      </c>
      <c r="C136" s="4">
        <f t="shared" si="185"/>
        <v>0</v>
      </c>
      <c r="D136" s="4">
        <f t="shared" si="185"/>
        <v>0</v>
      </c>
      <c r="E136" s="4">
        <f t="shared" si="185"/>
        <v>0</v>
      </c>
      <c r="F136" s="4">
        <f t="shared" si="185"/>
        <v>0</v>
      </c>
      <c r="G136" s="4">
        <f t="shared" si="185"/>
        <v>0</v>
      </c>
      <c r="H136" s="4">
        <f t="shared" si="185"/>
        <v>0</v>
      </c>
      <c r="I136" s="4">
        <f t="shared" si="185"/>
        <v>-3.9061375953618711</v>
      </c>
      <c r="J136" s="4">
        <f t="shared" si="185"/>
        <v>20.291441340167179</v>
      </c>
      <c r="K136" s="4">
        <f t="shared" ref="K136:S136" si="200">IF($A73&gt;K$3,0,K72*$C$5)</f>
        <v>44.34448921640238</v>
      </c>
      <c r="L136" s="4">
        <f t="shared" si="200"/>
        <v>0</v>
      </c>
      <c r="M136" s="4">
        <f t="shared" si="200"/>
        <v>0</v>
      </c>
      <c r="N136" s="4">
        <f t="shared" si="200"/>
        <v>0</v>
      </c>
      <c r="O136" s="4">
        <f t="shared" si="200"/>
        <v>0</v>
      </c>
      <c r="P136" s="4">
        <f t="shared" si="200"/>
        <v>0</v>
      </c>
      <c r="Q136" s="4">
        <f t="shared" si="200"/>
        <v>0</v>
      </c>
      <c r="R136" s="4">
        <f t="shared" si="200"/>
        <v>-11.245355076573976</v>
      </c>
      <c r="S136" s="4">
        <f t="shared" si="200"/>
        <v>12.507496211337262</v>
      </c>
      <c r="T136" s="4">
        <f t="shared" ref="T136:U136" si="201">IF($A73&gt;T$3,0,T72*$C$5)</f>
        <v>36.019983636468055</v>
      </c>
      <c r="U136" s="4">
        <f t="shared" si="201"/>
        <v>0</v>
      </c>
    </row>
    <row r="137" spans="1:21" x14ac:dyDescent="0.3">
      <c r="A137">
        <f t="shared" si="166"/>
        <v>19</v>
      </c>
      <c r="B137" s="1">
        <f>VLOOKUP(A137,dates!A:B,2,0)</f>
        <v>45505</v>
      </c>
      <c r="C137" s="4">
        <f t="shared" si="185"/>
        <v>0</v>
      </c>
      <c r="D137" s="4">
        <f t="shared" si="185"/>
        <v>0</v>
      </c>
      <c r="E137" s="4">
        <f t="shared" si="185"/>
        <v>0</v>
      </c>
      <c r="F137" s="4">
        <f t="shared" si="185"/>
        <v>0</v>
      </c>
      <c r="G137" s="4">
        <f t="shared" si="185"/>
        <v>0</v>
      </c>
      <c r="H137" s="4">
        <f t="shared" si="185"/>
        <v>0</v>
      </c>
      <c r="I137" s="4">
        <f t="shared" si="185"/>
        <v>0</v>
      </c>
      <c r="J137" s="4">
        <f t="shared" si="185"/>
        <v>15.475095441770478</v>
      </c>
      <c r="K137" s="4">
        <f t="shared" ref="K137:S137" si="202">IF($A74&gt;K$3,0,K73*$C$5)</f>
        <v>40.981535531218832</v>
      </c>
      <c r="L137" s="4">
        <f t="shared" si="202"/>
        <v>0</v>
      </c>
      <c r="M137" s="4">
        <f t="shared" si="202"/>
        <v>0</v>
      </c>
      <c r="N137" s="4">
        <f t="shared" si="202"/>
        <v>0</v>
      </c>
      <c r="O137" s="4">
        <f t="shared" si="202"/>
        <v>0</v>
      </c>
      <c r="P137" s="4">
        <f t="shared" si="202"/>
        <v>0</v>
      </c>
      <c r="Q137" s="4">
        <f t="shared" si="202"/>
        <v>0</v>
      </c>
      <c r="R137" s="4">
        <f t="shared" si="202"/>
        <v>0</v>
      </c>
      <c r="S137" s="4">
        <f t="shared" si="202"/>
        <v>7.2208097017826134</v>
      </c>
      <c r="T137" s="4">
        <f t="shared" ref="T137:U137" si="203">IF($A74&gt;T$3,0,T73*$C$5)</f>
        <v>32.154026271626932</v>
      </c>
      <c r="U137" s="4">
        <f t="shared" si="203"/>
        <v>0</v>
      </c>
    </row>
    <row r="138" spans="1:21" x14ac:dyDescent="0.3">
      <c r="A138">
        <f t="shared" si="166"/>
        <v>20</v>
      </c>
      <c r="B138" s="1">
        <f>VLOOKUP(A138,dates!A:B,2,0)</f>
        <v>45536</v>
      </c>
      <c r="C138" s="4">
        <f t="shared" si="185"/>
        <v>0</v>
      </c>
      <c r="D138" s="4">
        <f t="shared" si="185"/>
        <v>0</v>
      </c>
      <c r="E138" s="4">
        <f t="shared" si="185"/>
        <v>0</v>
      </c>
      <c r="F138" s="4">
        <f t="shared" si="185"/>
        <v>0</v>
      </c>
      <c r="G138" s="4">
        <f t="shared" si="185"/>
        <v>0</v>
      </c>
      <c r="H138" s="4">
        <f t="shared" si="185"/>
        <v>0</v>
      </c>
      <c r="I138" s="4">
        <f t="shared" si="185"/>
        <v>0</v>
      </c>
      <c r="J138" s="4">
        <f t="shared" si="185"/>
        <v>10.644300505678585</v>
      </c>
      <c r="K138" s="4">
        <f t="shared" ref="K138:S138" si="204">IF($A75&gt;K$3,0,K74*$C$5)</f>
        <v>37.608492984979733</v>
      </c>
      <c r="L138" s="4">
        <f t="shared" si="204"/>
        <v>0</v>
      </c>
      <c r="M138" s="4">
        <f t="shared" si="204"/>
        <v>0</v>
      </c>
      <c r="N138" s="4">
        <f t="shared" si="204"/>
        <v>0</v>
      </c>
      <c r="O138" s="4">
        <f t="shared" si="204"/>
        <v>0</v>
      </c>
      <c r="P138" s="4">
        <f t="shared" si="204"/>
        <v>0</v>
      </c>
      <c r="Q138" s="4">
        <f t="shared" si="204"/>
        <v>0</v>
      </c>
      <c r="R138" s="4">
        <f t="shared" si="204"/>
        <v>0</v>
      </c>
      <c r="S138" s="4">
        <f t="shared" si="204"/>
        <v>1.9182631326992987</v>
      </c>
      <c r="T138" s="4">
        <f t="shared" ref="T138:U138" si="205">IF($A75&gt;T$3,0,T74*$C$5)</f>
        <v>28.276471034691294</v>
      </c>
      <c r="U138" s="4">
        <f t="shared" si="205"/>
        <v>0</v>
      </c>
    </row>
    <row r="139" spans="1:21" x14ac:dyDescent="0.3">
      <c r="A139">
        <f t="shared" si="166"/>
        <v>21</v>
      </c>
      <c r="B139" s="1">
        <f>VLOOKUP(A139,dates!A:B,2,0)</f>
        <v>45566</v>
      </c>
      <c r="C139" s="4">
        <f t="shared" ref="C139:J148" si="206">IF($A76&gt;C$3,0,C75*$C$5)</f>
        <v>0</v>
      </c>
      <c r="D139" s="4">
        <f t="shared" si="206"/>
        <v>0</v>
      </c>
      <c r="E139" s="4">
        <f t="shared" si="206"/>
        <v>0</v>
      </c>
      <c r="F139" s="4">
        <f t="shared" si="206"/>
        <v>0</v>
      </c>
      <c r="G139" s="4">
        <f t="shared" si="206"/>
        <v>0</v>
      </c>
      <c r="H139" s="4">
        <f t="shared" si="206"/>
        <v>0</v>
      </c>
      <c r="I139" s="4">
        <f t="shared" si="206"/>
        <v>0</v>
      </c>
      <c r="J139" s="4">
        <f t="shared" si="206"/>
        <v>5.7990131847784152</v>
      </c>
      <c r="K139" s="4">
        <f t="shared" ref="K139:S139" si="207">IF($A76&gt;K$3,0,K75*$C$5)</f>
        <v>34.225331311101918</v>
      </c>
      <c r="L139" s="4">
        <f t="shared" si="207"/>
        <v>0</v>
      </c>
      <c r="M139" s="4">
        <f t="shared" si="207"/>
        <v>0</v>
      </c>
      <c r="N139" s="4">
        <f t="shared" si="207"/>
        <v>0</v>
      </c>
      <c r="O139" s="4">
        <f t="shared" si="207"/>
        <v>0</v>
      </c>
      <c r="P139" s="4">
        <f t="shared" si="207"/>
        <v>0</v>
      </c>
      <c r="Q139" s="4">
        <f t="shared" si="207"/>
        <v>0</v>
      </c>
      <c r="R139" s="4">
        <f t="shared" si="207"/>
        <v>0</v>
      </c>
      <c r="S139" s="4">
        <f t="shared" si="207"/>
        <v>-3.4001910760912653</v>
      </c>
      <c r="T139" s="4">
        <f t="shared" ref="T139:U139" si="208">IF($A76&gt;T$3,0,T75*$C$5)</f>
        <v>24.387283132044846</v>
      </c>
      <c r="U139" s="4">
        <f t="shared" si="208"/>
        <v>0</v>
      </c>
    </row>
    <row r="140" spans="1:21" x14ac:dyDescent="0.3">
      <c r="A140">
        <f t="shared" si="166"/>
        <v>22</v>
      </c>
      <c r="B140" s="1">
        <f>VLOOKUP(A140,dates!A:B,2,0)</f>
        <v>45597</v>
      </c>
      <c r="C140" s="4">
        <f t="shared" si="206"/>
        <v>0</v>
      </c>
      <c r="D140" s="4">
        <f t="shared" si="206"/>
        <v>0</v>
      </c>
      <c r="E140" s="4">
        <f t="shared" si="206"/>
        <v>0</v>
      </c>
      <c r="F140" s="4">
        <f t="shared" si="206"/>
        <v>0</v>
      </c>
      <c r="G140" s="4">
        <f t="shared" si="206"/>
        <v>0</v>
      </c>
      <c r="H140" s="4">
        <f t="shared" si="206"/>
        <v>0</v>
      </c>
      <c r="I140" s="4">
        <f t="shared" si="206"/>
        <v>0</v>
      </c>
      <c r="J140" s="4">
        <f t="shared" si="206"/>
        <v>0.9391900019155458</v>
      </c>
      <c r="K140" s="4">
        <f t="shared" ref="K140:S140" si="209">IF($A77&gt;K$3,0,K76*$C$5)</f>
        <v>30.832020152202468</v>
      </c>
      <c r="L140" s="4">
        <f t="shared" si="209"/>
        <v>0</v>
      </c>
      <c r="M140" s="4">
        <f t="shared" si="209"/>
        <v>0</v>
      </c>
      <c r="N140" s="4">
        <f t="shared" si="209"/>
        <v>0</v>
      </c>
      <c r="O140" s="4">
        <f t="shared" si="209"/>
        <v>0</v>
      </c>
      <c r="P140" s="4">
        <f t="shared" si="209"/>
        <v>0</v>
      </c>
      <c r="Q140" s="4">
        <f t="shared" si="209"/>
        <v>0</v>
      </c>
      <c r="R140" s="4">
        <f t="shared" si="209"/>
        <v>0</v>
      </c>
      <c r="S140" s="4">
        <f t="shared" si="209"/>
        <v>-8.7346006475082003</v>
      </c>
      <c r="T140" s="4">
        <f t="shared" ref="T140:U140" si="210">IF($A77&gt;T$3,0,T76*$C$5)</f>
        <v>20.486427665690456</v>
      </c>
      <c r="U140" s="4">
        <f t="shared" si="210"/>
        <v>0</v>
      </c>
    </row>
    <row r="141" spans="1:21" x14ac:dyDescent="0.3">
      <c r="A141">
        <f t="shared" si="166"/>
        <v>23</v>
      </c>
      <c r="B141" s="1">
        <f>VLOOKUP(A141,dates!A:B,2,0)</f>
        <v>45627</v>
      </c>
      <c r="C141" s="4">
        <f t="shared" si="206"/>
        <v>0</v>
      </c>
      <c r="D141" s="4">
        <f t="shared" si="206"/>
        <v>0</v>
      </c>
      <c r="E141" s="4">
        <f t="shared" si="206"/>
        <v>0</v>
      </c>
      <c r="F141" s="4">
        <f t="shared" si="206"/>
        <v>0</v>
      </c>
      <c r="G141" s="4">
        <f t="shared" si="206"/>
        <v>0</v>
      </c>
      <c r="H141" s="4">
        <f t="shared" si="206"/>
        <v>0</v>
      </c>
      <c r="I141" s="4">
        <f t="shared" si="206"/>
        <v>0</v>
      </c>
      <c r="J141" s="4">
        <f t="shared" si="206"/>
        <v>-3.9352126504959122</v>
      </c>
      <c r="K141" s="4">
        <f t="shared" ref="K141:S141" si="211">IF($A78&gt;K$3,0,K77*$C$5)</f>
        <v>27.428529059826321</v>
      </c>
      <c r="L141" s="4">
        <f t="shared" si="211"/>
        <v>0</v>
      </c>
      <c r="M141" s="4">
        <f t="shared" si="211"/>
        <v>0</v>
      </c>
      <c r="N141" s="4">
        <f t="shared" si="211"/>
        <v>0</v>
      </c>
      <c r="O141" s="4">
        <f t="shared" si="211"/>
        <v>0</v>
      </c>
      <c r="P141" s="4">
        <f t="shared" si="211"/>
        <v>0</v>
      </c>
      <c r="Q141" s="4">
        <f t="shared" si="211"/>
        <v>0</v>
      </c>
      <c r="R141" s="4">
        <f t="shared" si="211"/>
        <v>0</v>
      </c>
      <c r="S141" s="4">
        <f t="shared" si="211"/>
        <v>-14.085013447639385</v>
      </c>
      <c r="T141" s="4">
        <f t="shared" ref="T141:U141" si="212">IF($A78&gt;T$3,0,T77*$C$5)</f>
        <v>16.573869632937008</v>
      </c>
      <c r="U141" s="4">
        <f t="shared" si="212"/>
        <v>0</v>
      </c>
    </row>
    <row r="142" spans="1:21" x14ac:dyDescent="0.3">
      <c r="A142">
        <f t="shared" si="166"/>
        <v>24</v>
      </c>
      <c r="B142" s="1">
        <f>VLOOKUP(A142,dates!A:B,2,0)</f>
        <v>45658</v>
      </c>
      <c r="C142" s="4">
        <f t="shared" si="206"/>
        <v>0</v>
      </c>
      <c r="D142" s="4">
        <f t="shared" si="206"/>
        <v>0</v>
      </c>
      <c r="E142" s="4">
        <f t="shared" si="206"/>
        <v>0</v>
      </c>
      <c r="F142" s="4">
        <f t="shared" si="206"/>
        <v>0</v>
      </c>
      <c r="G142" s="4">
        <f t="shared" si="206"/>
        <v>0</v>
      </c>
      <c r="H142" s="4">
        <f t="shared" si="206"/>
        <v>0</v>
      </c>
      <c r="I142" s="4">
        <f t="shared" si="206"/>
        <v>0</v>
      </c>
      <c r="J142" s="4">
        <f t="shared" si="206"/>
        <v>-8.8242385108646051</v>
      </c>
      <c r="K142" s="4">
        <f t="shared" ref="K142:S142" si="213">IF($A79&gt;K$3,0,K78*$C$5)</f>
        <v>24.014827494173041</v>
      </c>
      <c r="L142" s="4">
        <f t="shared" si="213"/>
        <v>0</v>
      </c>
      <c r="M142" s="4">
        <f t="shared" si="213"/>
        <v>0</v>
      </c>
      <c r="N142" s="4">
        <f t="shared" si="213"/>
        <v>0</v>
      </c>
      <c r="O142" s="4">
        <f t="shared" si="213"/>
        <v>0</v>
      </c>
      <c r="P142" s="4">
        <f t="shared" si="213"/>
        <v>0</v>
      </c>
      <c r="Q142" s="4">
        <f t="shared" si="213"/>
        <v>0</v>
      </c>
      <c r="R142" s="4">
        <f t="shared" si="213"/>
        <v>0</v>
      </c>
      <c r="S142" s="4">
        <f t="shared" si="213"/>
        <v>-19.451477486170965</v>
      </c>
      <c r="T142" s="4">
        <f t="shared" ref="T142:U142" si="214">IF($A79&gt;T$3,0,T78*$C$5)</f>
        <v>12.649573926085298</v>
      </c>
      <c r="U142" s="4">
        <f t="shared" si="214"/>
        <v>0</v>
      </c>
    </row>
    <row r="143" spans="1:21" x14ac:dyDescent="0.3">
      <c r="A143">
        <f t="shared" si="166"/>
        <v>25</v>
      </c>
      <c r="B143" s="1">
        <f>VLOOKUP(A143,dates!A:B,2,0)</f>
        <v>45689</v>
      </c>
      <c r="C143" s="4">
        <f t="shared" si="206"/>
        <v>0</v>
      </c>
      <c r="D143" s="4">
        <f t="shared" si="206"/>
        <v>0</v>
      </c>
      <c r="E143" s="4">
        <f t="shared" si="206"/>
        <v>0</v>
      </c>
      <c r="F143" s="4">
        <f t="shared" si="206"/>
        <v>0</v>
      </c>
      <c r="G143" s="4">
        <f t="shared" si="206"/>
        <v>0</v>
      </c>
      <c r="H143" s="4">
        <f t="shared" si="206"/>
        <v>0</v>
      </c>
      <c r="I143" s="4">
        <f t="shared" si="206"/>
        <v>0</v>
      </c>
      <c r="J143" s="4">
        <f t="shared" si="206"/>
        <v>0</v>
      </c>
      <c r="K143" s="4">
        <f t="shared" ref="K143:S143" si="215">IF($A80&gt;K$3,0,K79*$C$5)</f>
        <v>20.590884823822808</v>
      </c>
      <c r="L143" s="4">
        <f t="shared" si="215"/>
        <v>0</v>
      </c>
      <c r="M143" s="4">
        <f t="shared" si="215"/>
        <v>0</v>
      </c>
      <c r="N143" s="4">
        <f t="shared" si="215"/>
        <v>0</v>
      </c>
      <c r="O143" s="4">
        <f t="shared" si="215"/>
        <v>0</v>
      </c>
      <c r="P143" s="4">
        <f t="shared" si="215"/>
        <v>0</v>
      </c>
      <c r="Q143" s="4">
        <f t="shared" si="215"/>
        <v>0</v>
      </c>
      <c r="R143" s="4">
        <f t="shared" si="215"/>
        <v>0</v>
      </c>
      <c r="S143" s="4">
        <f t="shared" si="215"/>
        <v>0</v>
      </c>
      <c r="T143" s="4">
        <f t="shared" ref="T143:U143" si="216">IF($A80&gt;T$3,0,T79*$C$5)</f>
        <v>8.7135053321130318</v>
      </c>
      <c r="U143" s="4">
        <f t="shared" si="216"/>
        <v>0</v>
      </c>
    </row>
    <row r="144" spans="1:21" x14ac:dyDescent="0.3">
      <c r="A144">
        <f t="shared" si="166"/>
        <v>26</v>
      </c>
      <c r="B144" s="1">
        <f>VLOOKUP(A144,dates!A:B,2,0)</f>
        <v>45717</v>
      </c>
      <c r="C144" s="4">
        <f t="shared" si="206"/>
        <v>0</v>
      </c>
      <c r="D144" s="4">
        <f t="shared" si="206"/>
        <v>0</v>
      </c>
      <c r="E144" s="4">
        <f t="shared" si="206"/>
        <v>0</v>
      </c>
      <c r="F144" s="4">
        <f t="shared" si="206"/>
        <v>0</v>
      </c>
      <c r="G144" s="4">
        <f t="shared" si="206"/>
        <v>0</v>
      </c>
      <c r="H144" s="4">
        <f t="shared" si="206"/>
        <v>0</v>
      </c>
      <c r="I144" s="4">
        <f t="shared" si="206"/>
        <v>0</v>
      </c>
      <c r="J144" s="4">
        <f t="shared" si="206"/>
        <v>0</v>
      </c>
      <c r="K144" s="4">
        <f t="shared" ref="K144:S144" si="217">IF($A81&gt;K$3,0,K80*$C$5)</f>
        <v>17.156670325461523</v>
      </c>
      <c r="L144" s="4">
        <f t="shared" si="217"/>
        <v>0</v>
      </c>
      <c r="M144" s="4">
        <f t="shared" si="217"/>
        <v>0</v>
      </c>
      <c r="N144" s="4">
        <f t="shared" si="217"/>
        <v>0</v>
      </c>
      <c r="O144" s="4">
        <f t="shared" si="217"/>
        <v>0</v>
      </c>
      <c r="P144" s="4">
        <f t="shared" si="217"/>
        <v>0</v>
      </c>
      <c r="Q144" s="4">
        <f t="shared" si="217"/>
        <v>0</v>
      </c>
      <c r="R144" s="4">
        <f t="shared" si="217"/>
        <v>0</v>
      </c>
      <c r="S144" s="4">
        <f t="shared" si="217"/>
        <v>0</v>
      </c>
      <c r="T144" s="4">
        <f t="shared" ref="T144:U144" si="218">IF($A81&gt;T$3,0,T80*$C$5)</f>
        <v>4.7656285323588481</v>
      </c>
      <c r="U144" s="4">
        <f t="shared" si="218"/>
        <v>0</v>
      </c>
    </row>
    <row r="145" spans="1:21" x14ac:dyDescent="0.3">
      <c r="A145">
        <f t="shared" si="166"/>
        <v>27</v>
      </c>
      <c r="B145" s="1">
        <f>VLOOKUP(A145,dates!A:B,2,0)</f>
        <v>45748</v>
      </c>
      <c r="C145" s="4">
        <f t="shared" si="206"/>
        <v>0</v>
      </c>
      <c r="D145" s="4">
        <f t="shared" si="206"/>
        <v>0</v>
      </c>
      <c r="E145" s="4">
        <f t="shared" si="206"/>
        <v>0</v>
      </c>
      <c r="F145" s="4">
        <f t="shared" si="206"/>
        <v>0</v>
      </c>
      <c r="G145" s="4">
        <f t="shared" si="206"/>
        <v>0</v>
      </c>
      <c r="H145" s="4">
        <f t="shared" si="206"/>
        <v>0</v>
      </c>
      <c r="I145" s="4">
        <f t="shared" si="206"/>
        <v>0</v>
      </c>
      <c r="J145" s="4">
        <f t="shared" si="206"/>
        <v>0</v>
      </c>
      <c r="K145" s="4">
        <f t="shared" ref="K145:S145" si="219">IF($A82&gt;K$3,0,K81*$C$5)</f>
        <v>13.712153183605151</v>
      </c>
      <c r="L145" s="4">
        <f t="shared" si="219"/>
        <v>0</v>
      </c>
      <c r="M145" s="4">
        <f t="shared" si="219"/>
        <v>0</v>
      </c>
      <c r="N145" s="4">
        <f t="shared" si="219"/>
        <v>0</v>
      </c>
      <c r="O145" s="4">
        <f t="shared" si="219"/>
        <v>0</v>
      </c>
      <c r="P145" s="4">
        <f t="shared" si="219"/>
        <v>0</v>
      </c>
      <c r="Q145" s="4">
        <f t="shared" si="219"/>
        <v>0</v>
      </c>
      <c r="R145" s="4">
        <f t="shared" si="219"/>
        <v>0</v>
      </c>
      <c r="S145" s="4">
        <f t="shared" si="219"/>
        <v>0</v>
      </c>
      <c r="T145" s="4">
        <f t="shared" ref="T145:U145" si="220">IF($A82&gt;T$3,0,T81*$C$5)</f>
        <v>0.80590810220540221</v>
      </c>
      <c r="U145" s="4">
        <f t="shared" si="220"/>
        <v>0</v>
      </c>
    </row>
    <row r="146" spans="1:21" x14ac:dyDescent="0.3">
      <c r="A146">
        <f t="shared" si="166"/>
        <v>28</v>
      </c>
      <c r="B146" s="1">
        <f>VLOOKUP(A146,dates!A:B,2,0)</f>
        <v>45778</v>
      </c>
      <c r="C146" s="4">
        <f t="shared" si="206"/>
        <v>0</v>
      </c>
      <c r="D146" s="4">
        <f t="shared" si="206"/>
        <v>0</v>
      </c>
      <c r="E146" s="4">
        <f t="shared" si="206"/>
        <v>0</v>
      </c>
      <c r="F146" s="4">
        <f t="shared" si="206"/>
        <v>0</v>
      </c>
      <c r="G146" s="4">
        <f t="shared" si="206"/>
        <v>0</v>
      </c>
      <c r="H146" s="4">
        <f t="shared" si="206"/>
        <v>0</v>
      </c>
      <c r="I146" s="4">
        <f t="shared" si="206"/>
        <v>0</v>
      </c>
      <c r="J146" s="4">
        <f t="shared" si="206"/>
        <v>0</v>
      </c>
      <c r="K146" s="4">
        <f t="shared" ref="K146:S146" si="221">IF($A83&gt;K$3,0,K82*$C$5)</f>
        <v>10.257302490323211</v>
      </c>
      <c r="L146" s="4">
        <f t="shared" si="221"/>
        <v>0</v>
      </c>
      <c r="M146" s="4">
        <f t="shared" si="221"/>
        <v>0</v>
      </c>
      <c r="N146" s="4">
        <f t="shared" si="221"/>
        <v>0</v>
      </c>
      <c r="O146" s="4">
        <f t="shared" si="221"/>
        <v>0</v>
      </c>
      <c r="P146" s="4">
        <f t="shared" si="221"/>
        <v>0</v>
      </c>
      <c r="Q146" s="4">
        <f t="shared" si="221"/>
        <v>0</v>
      </c>
      <c r="R146" s="4">
        <f t="shared" si="221"/>
        <v>0</v>
      </c>
      <c r="S146" s="4">
        <f t="shared" si="221"/>
        <v>0</v>
      </c>
      <c r="T146" s="4">
        <f t="shared" ref="T146:U146" si="222">IF($A83&gt;T$3,0,T82*$C$5)</f>
        <v>-3.1656914892385037</v>
      </c>
      <c r="U146" s="4">
        <f t="shared" si="222"/>
        <v>0</v>
      </c>
    </row>
    <row r="147" spans="1:21" x14ac:dyDescent="0.3">
      <c r="A147">
        <f t="shared" si="166"/>
        <v>29</v>
      </c>
      <c r="B147" s="1">
        <f>VLOOKUP(A147,dates!A:B,2,0)</f>
        <v>45809</v>
      </c>
      <c r="C147" s="4">
        <f t="shared" si="206"/>
        <v>0</v>
      </c>
      <c r="D147" s="4">
        <f t="shared" si="206"/>
        <v>0</v>
      </c>
      <c r="E147" s="4">
        <f t="shared" si="206"/>
        <v>0</v>
      </c>
      <c r="F147" s="4">
        <f t="shared" si="206"/>
        <v>0</v>
      </c>
      <c r="G147" s="4">
        <f t="shared" si="206"/>
        <v>0</v>
      </c>
      <c r="H147" s="4">
        <f t="shared" si="206"/>
        <v>0</v>
      </c>
      <c r="I147" s="4">
        <f t="shared" si="206"/>
        <v>0</v>
      </c>
      <c r="J147" s="4">
        <f t="shared" si="206"/>
        <v>0</v>
      </c>
      <c r="K147" s="4">
        <f t="shared" ref="K147:S147" si="223">IF($A84&gt;K$3,0,K83*$C$5)</f>
        <v>6.7920872449614267</v>
      </c>
      <c r="L147" s="4">
        <f t="shared" si="223"/>
        <v>0</v>
      </c>
      <c r="M147" s="4">
        <f t="shared" si="223"/>
        <v>0</v>
      </c>
      <c r="N147" s="4">
        <f t="shared" si="223"/>
        <v>0</v>
      </c>
      <c r="O147" s="4">
        <f t="shared" si="223"/>
        <v>0</v>
      </c>
      <c r="P147" s="4">
        <f t="shared" si="223"/>
        <v>0</v>
      </c>
      <c r="Q147" s="4">
        <f t="shared" si="223"/>
        <v>0</v>
      </c>
      <c r="R147" s="4">
        <f t="shared" si="223"/>
        <v>0</v>
      </c>
      <c r="S147" s="4">
        <f t="shared" si="223"/>
        <v>0</v>
      </c>
      <c r="T147" s="4">
        <f t="shared" ref="T147:U147" si="224">IF($A84&gt;T$3,0,T83*$C$5)</f>
        <v>-7.1492058794567415</v>
      </c>
      <c r="U147" s="4">
        <f t="shared" si="224"/>
        <v>0</v>
      </c>
    </row>
    <row r="148" spans="1:21" x14ac:dyDescent="0.3">
      <c r="A148">
        <f t="shared" si="166"/>
        <v>30</v>
      </c>
      <c r="B148" s="1">
        <f>VLOOKUP(A148,dates!A:B,2,0)</f>
        <v>45839</v>
      </c>
      <c r="C148" s="4">
        <f t="shared" si="206"/>
        <v>0</v>
      </c>
      <c r="D148" s="4">
        <f t="shared" si="206"/>
        <v>0</v>
      </c>
      <c r="E148" s="4">
        <f t="shared" si="206"/>
        <v>0</v>
      </c>
      <c r="F148" s="4">
        <f t="shared" si="206"/>
        <v>0</v>
      </c>
      <c r="G148" s="4">
        <f t="shared" si="206"/>
        <v>0</v>
      </c>
      <c r="H148" s="4">
        <f t="shared" si="206"/>
        <v>0</v>
      </c>
      <c r="I148" s="4">
        <f t="shared" si="206"/>
        <v>0</v>
      </c>
      <c r="J148" s="4">
        <f t="shared" si="206"/>
        <v>0</v>
      </c>
      <c r="K148" s="4">
        <f t="shared" ref="K148:S148" si="225">IF($A85&gt;K$3,0,K84*$C$5)</f>
        <v>3.316476353863556</v>
      </c>
      <c r="L148" s="4">
        <f t="shared" si="225"/>
        <v>0</v>
      </c>
      <c r="M148" s="4">
        <f t="shared" si="225"/>
        <v>0</v>
      </c>
      <c r="N148" s="4">
        <f t="shared" si="225"/>
        <v>0</v>
      </c>
      <c r="O148" s="4">
        <f t="shared" si="225"/>
        <v>0</v>
      </c>
      <c r="P148" s="4">
        <f t="shared" si="225"/>
        <v>0</v>
      </c>
      <c r="Q148" s="4">
        <f t="shared" si="225"/>
        <v>0</v>
      </c>
      <c r="R148" s="4">
        <f t="shared" si="225"/>
        <v>0</v>
      </c>
      <c r="S148" s="4">
        <f t="shared" si="225"/>
        <v>0</v>
      </c>
      <c r="T148" s="4">
        <f t="shared" ref="T148:U148" si="226">IF($A85&gt;T$3,0,T84*$C$5)</f>
        <v>-11.144670812845634</v>
      </c>
      <c r="U148" s="4">
        <f t="shared" si="226"/>
        <v>0</v>
      </c>
    </row>
    <row r="149" spans="1:21" x14ac:dyDescent="0.3">
      <c r="A149">
        <f t="shared" si="166"/>
        <v>31</v>
      </c>
      <c r="B149" s="1">
        <f>VLOOKUP(A149,dates!A:B,2,0)</f>
        <v>45870</v>
      </c>
      <c r="C149" s="4">
        <f t="shared" ref="C149:J158" si="227">IF($A86&gt;C$3,0,C85*$C$5)</f>
        <v>0</v>
      </c>
      <c r="D149" s="4">
        <f t="shared" si="227"/>
        <v>0</v>
      </c>
      <c r="E149" s="4">
        <f t="shared" si="227"/>
        <v>0</v>
      </c>
      <c r="F149" s="4">
        <f t="shared" si="227"/>
        <v>0</v>
      </c>
      <c r="G149" s="4">
        <f t="shared" si="227"/>
        <v>0</v>
      </c>
      <c r="H149" s="4">
        <f t="shared" si="227"/>
        <v>0</v>
      </c>
      <c r="I149" s="4">
        <f t="shared" si="227"/>
        <v>0</v>
      </c>
      <c r="J149" s="4">
        <f t="shared" si="227"/>
        <v>0</v>
      </c>
      <c r="K149" s="4">
        <f t="shared" ref="K149:S149" si="228">IF($A86&gt;K$3,0,K85*$C$5)</f>
        <v>-0.16956136990760798</v>
      </c>
      <c r="L149" s="4">
        <f t="shared" si="228"/>
        <v>0</v>
      </c>
      <c r="M149" s="4">
        <f t="shared" si="228"/>
        <v>0</v>
      </c>
      <c r="N149" s="4">
        <f t="shared" si="228"/>
        <v>0</v>
      </c>
      <c r="O149" s="4">
        <f t="shared" si="228"/>
        <v>0</v>
      </c>
      <c r="P149" s="4">
        <f t="shared" si="228"/>
        <v>0</v>
      </c>
      <c r="Q149" s="4">
        <f t="shared" si="228"/>
        <v>0</v>
      </c>
      <c r="R149" s="4">
        <f t="shared" si="228"/>
        <v>0</v>
      </c>
      <c r="S149" s="4">
        <f t="shared" si="228"/>
        <v>0</v>
      </c>
      <c r="T149" s="4">
        <f t="shared" ref="T149:U149" si="229">IF($A86&gt;T$3,0,T85*$C$5)</f>
        <v>-15.152122141034694</v>
      </c>
      <c r="U149" s="4">
        <f t="shared" si="229"/>
        <v>0</v>
      </c>
    </row>
    <row r="150" spans="1:21" x14ac:dyDescent="0.3">
      <c r="A150">
        <f t="shared" si="166"/>
        <v>32</v>
      </c>
      <c r="B150" s="1">
        <f>VLOOKUP(A150,dates!A:B,2,0)</f>
        <v>45901</v>
      </c>
      <c r="C150" s="4">
        <f t="shared" si="227"/>
        <v>0</v>
      </c>
      <c r="D150" s="4">
        <f t="shared" si="227"/>
        <v>0</v>
      </c>
      <c r="E150" s="4">
        <f t="shared" si="227"/>
        <v>0</v>
      </c>
      <c r="F150" s="4">
        <f t="shared" si="227"/>
        <v>0</v>
      </c>
      <c r="G150" s="4">
        <f t="shared" si="227"/>
        <v>0</v>
      </c>
      <c r="H150" s="4">
        <f t="shared" si="227"/>
        <v>0</v>
      </c>
      <c r="I150" s="4">
        <f t="shared" si="227"/>
        <v>0</v>
      </c>
      <c r="J150" s="4">
        <f t="shared" si="227"/>
        <v>0</v>
      </c>
      <c r="K150" s="4">
        <f t="shared" ref="K150:S150" si="230">IF($A87&gt;K$3,0,K86*$C$5)</f>
        <v>-3.6660572068500854</v>
      </c>
      <c r="L150" s="4">
        <f t="shared" si="230"/>
        <v>0</v>
      </c>
      <c r="M150" s="4">
        <f t="shared" si="230"/>
        <v>0</v>
      </c>
      <c r="N150" s="4">
        <f t="shared" si="230"/>
        <v>0</v>
      </c>
      <c r="O150" s="4">
        <f t="shared" si="230"/>
        <v>0</v>
      </c>
      <c r="P150" s="4">
        <f t="shared" si="230"/>
        <v>0</v>
      </c>
      <c r="Q150" s="4">
        <f t="shared" si="230"/>
        <v>0</v>
      </c>
      <c r="R150" s="4">
        <f t="shared" si="230"/>
        <v>0</v>
      </c>
      <c r="S150" s="4">
        <f t="shared" si="230"/>
        <v>0</v>
      </c>
      <c r="T150" s="4">
        <f t="shared" ref="T150:U150" si="231">IF($A87&gt;T$3,0,T86*$C$5)</f>
        <v>-19.171595823208321</v>
      </c>
      <c r="U150" s="4">
        <f t="shared" si="231"/>
        <v>0</v>
      </c>
    </row>
    <row r="151" spans="1:21" x14ac:dyDescent="0.3">
      <c r="A151">
        <f t="shared" si="166"/>
        <v>33</v>
      </c>
      <c r="B151" s="1">
        <f>VLOOKUP(A151,dates!A:B,2,0)</f>
        <v>45931</v>
      </c>
      <c r="C151" s="4">
        <f t="shared" si="227"/>
        <v>0</v>
      </c>
      <c r="D151" s="4">
        <f t="shared" si="227"/>
        <v>0</v>
      </c>
      <c r="E151" s="4">
        <f t="shared" si="227"/>
        <v>0</v>
      </c>
      <c r="F151" s="4">
        <f t="shared" si="227"/>
        <v>0</v>
      </c>
      <c r="G151" s="4">
        <f t="shared" si="227"/>
        <v>0</v>
      </c>
      <c r="H151" s="4">
        <f t="shared" si="227"/>
        <v>0</v>
      </c>
      <c r="I151" s="4">
        <f t="shared" si="227"/>
        <v>0</v>
      </c>
      <c r="J151" s="4">
        <f t="shared" si="227"/>
        <v>0</v>
      </c>
      <c r="K151" s="4">
        <f t="shared" ref="K151:S151" si="232">IF($A88&gt;K$3,0,K87*$C$5)</f>
        <v>-7.1730425313033903</v>
      </c>
      <c r="L151" s="4">
        <f t="shared" si="232"/>
        <v>0</v>
      </c>
      <c r="M151" s="4">
        <f t="shared" si="232"/>
        <v>0</v>
      </c>
      <c r="N151" s="4">
        <f t="shared" si="232"/>
        <v>0</v>
      </c>
      <c r="O151" s="4">
        <f t="shared" si="232"/>
        <v>0</v>
      </c>
      <c r="P151" s="4">
        <f t="shared" si="232"/>
        <v>0</v>
      </c>
      <c r="Q151" s="4">
        <f t="shared" si="232"/>
        <v>0</v>
      </c>
      <c r="R151" s="4">
        <f t="shared" si="232"/>
        <v>0</v>
      </c>
      <c r="S151" s="4">
        <f t="shared" si="232"/>
        <v>0</v>
      </c>
      <c r="T151" s="4">
        <f t="shared" ref="T151:U151" si="233">IF($A88&gt;T$3,0,T87*$C$5)</f>
        <v>-23.203127926428465</v>
      </c>
      <c r="U151" s="4">
        <f t="shared" si="233"/>
        <v>0</v>
      </c>
    </row>
    <row r="152" spans="1:21" x14ac:dyDescent="0.3">
      <c r="A152">
        <f t="shared" si="166"/>
        <v>34</v>
      </c>
      <c r="B152" s="1">
        <f>VLOOKUP(A152,dates!A:B,2,0)</f>
        <v>45962</v>
      </c>
      <c r="C152" s="4">
        <f t="shared" si="227"/>
        <v>0</v>
      </c>
      <c r="D152" s="4">
        <f t="shared" si="227"/>
        <v>0</v>
      </c>
      <c r="E152" s="4">
        <f t="shared" si="227"/>
        <v>0</v>
      </c>
      <c r="F152" s="4">
        <f t="shared" si="227"/>
        <v>0</v>
      </c>
      <c r="G152" s="4">
        <f t="shared" si="227"/>
        <v>0</v>
      </c>
      <c r="H152" s="4">
        <f t="shared" si="227"/>
        <v>0</v>
      </c>
      <c r="I152" s="4">
        <f t="shared" si="227"/>
        <v>0</v>
      </c>
      <c r="J152" s="4">
        <f t="shared" si="227"/>
        <v>0</v>
      </c>
      <c r="K152" s="4">
        <f t="shared" ref="K152:S152" si="234">IF($A89&gt;K$3,0,K88*$C$5)</f>
        <v>-10.690548811730055</v>
      </c>
      <c r="L152" s="4">
        <f t="shared" si="234"/>
        <v>0</v>
      </c>
      <c r="M152" s="4">
        <f t="shared" si="234"/>
        <v>0</v>
      </c>
      <c r="N152" s="4">
        <f t="shared" si="234"/>
        <v>0</v>
      </c>
      <c r="O152" s="4">
        <f t="shared" si="234"/>
        <v>0</v>
      </c>
      <c r="P152" s="4">
        <f t="shared" si="234"/>
        <v>0</v>
      </c>
      <c r="Q152" s="4">
        <f t="shared" si="234"/>
        <v>0</v>
      </c>
      <c r="R152" s="4">
        <f t="shared" si="234"/>
        <v>0</v>
      </c>
      <c r="S152" s="4">
        <f t="shared" si="234"/>
        <v>0</v>
      </c>
      <c r="T152" s="4">
        <f t="shared" ref="T152:U152" si="235">IF($A89&gt;T$3,0,T88*$C$5)</f>
        <v>-27.246754625958275</v>
      </c>
      <c r="U152" s="4">
        <f t="shared" si="235"/>
        <v>0</v>
      </c>
    </row>
    <row r="153" spans="1:21" x14ac:dyDescent="0.3">
      <c r="A153">
        <f t="shared" si="166"/>
        <v>35</v>
      </c>
      <c r="B153" s="1">
        <f>VLOOKUP(A153,dates!A:B,2,0)</f>
        <v>45992</v>
      </c>
      <c r="C153" s="4">
        <f t="shared" si="227"/>
        <v>0</v>
      </c>
      <c r="D153" s="4">
        <f t="shared" si="227"/>
        <v>0</v>
      </c>
      <c r="E153" s="4">
        <f t="shared" si="227"/>
        <v>0</v>
      </c>
      <c r="F153" s="4">
        <f t="shared" si="227"/>
        <v>0</v>
      </c>
      <c r="G153" s="4">
        <f t="shared" si="227"/>
        <v>0</v>
      </c>
      <c r="H153" s="4">
        <f t="shared" si="227"/>
        <v>0</v>
      </c>
      <c r="I153" s="4">
        <f t="shared" si="227"/>
        <v>0</v>
      </c>
      <c r="J153" s="4">
        <f t="shared" si="227"/>
        <v>0</v>
      </c>
      <c r="K153" s="4">
        <f t="shared" ref="K153:S153" si="236">IF($A90&gt;K$3,0,K89*$C$5)</f>
        <v>-14.218607610997999</v>
      </c>
      <c r="L153" s="4">
        <f t="shared" si="236"/>
        <v>0</v>
      </c>
      <c r="M153" s="4">
        <f t="shared" si="236"/>
        <v>0</v>
      </c>
      <c r="N153" s="4">
        <f t="shared" si="236"/>
        <v>0</v>
      </c>
      <c r="O153" s="4">
        <f t="shared" si="236"/>
        <v>0</v>
      </c>
      <c r="P153" s="4">
        <f t="shared" si="236"/>
        <v>0</v>
      </c>
      <c r="Q153" s="4">
        <f t="shared" si="236"/>
        <v>0</v>
      </c>
      <c r="R153" s="4">
        <f t="shared" si="236"/>
        <v>0</v>
      </c>
      <c r="S153" s="4">
        <f t="shared" si="236"/>
        <v>0</v>
      </c>
      <c r="T153" s="4">
        <f t="shared" ref="T153:U153" si="237">IF($A90&gt;T$3,0,T89*$C$5)</f>
        <v>-31.302512205586673</v>
      </c>
      <c r="U153" s="4">
        <f t="shared" si="237"/>
        <v>0</v>
      </c>
    </row>
    <row r="154" spans="1:21" x14ac:dyDescent="0.3">
      <c r="A154">
        <f t="shared" si="166"/>
        <v>36</v>
      </c>
      <c r="B154" s="1">
        <f>VLOOKUP(A154,dates!A:B,2,0)</f>
        <v>46023</v>
      </c>
      <c r="C154" s="4">
        <f t="shared" si="227"/>
        <v>0</v>
      </c>
      <c r="D154" s="4">
        <f t="shared" si="227"/>
        <v>0</v>
      </c>
      <c r="E154" s="4">
        <f t="shared" si="227"/>
        <v>0</v>
      </c>
      <c r="F154" s="4">
        <f t="shared" si="227"/>
        <v>0</v>
      </c>
      <c r="G154" s="4">
        <f t="shared" si="227"/>
        <v>0</v>
      </c>
      <c r="H154" s="4">
        <f t="shared" si="227"/>
        <v>0</v>
      </c>
      <c r="I154" s="4">
        <f t="shared" si="227"/>
        <v>0</v>
      </c>
      <c r="J154" s="4">
        <f t="shared" si="227"/>
        <v>0</v>
      </c>
      <c r="K154" s="4">
        <f t="shared" ref="K154:S154" si="238">IF($A91&gt;K$3,0,K90*$C$5)</f>
        <v>-17.757250586663748</v>
      </c>
      <c r="L154" s="4">
        <f t="shared" si="238"/>
        <v>0</v>
      </c>
      <c r="M154" s="4">
        <f t="shared" si="238"/>
        <v>0</v>
      </c>
      <c r="N154" s="4">
        <f t="shared" si="238"/>
        <v>0</v>
      </c>
      <c r="O154" s="4">
        <f t="shared" si="238"/>
        <v>0</v>
      </c>
      <c r="P154" s="4">
        <f t="shared" si="238"/>
        <v>0</v>
      </c>
      <c r="Q154" s="4">
        <f t="shared" si="238"/>
        <v>0</v>
      </c>
      <c r="R154" s="4">
        <f t="shared" si="238"/>
        <v>0</v>
      </c>
      <c r="S154" s="4">
        <f t="shared" si="238"/>
        <v>0</v>
      </c>
      <c r="T154" s="4">
        <f t="shared" ref="T154:U154" si="239">IF($A91&gt;T$3,0,T90*$C$5)</f>
        <v>-35.370437057953957</v>
      </c>
      <c r="U154" s="4">
        <f t="shared" si="239"/>
        <v>0</v>
      </c>
    </row>
    <row r="155" spans="1:21" x14ac:dyDescent="0.3">
      <c r="A155">
        <f t="shared" si="166"/>
        <v>37</v>
      </c>
      <c r="B155" s="1">
        <f>VLOOKUP(A155,dates!A:B,2,0)</f>
        <v>46054</v>
      </c>
      <c r="C155" s="4">
        <f t="shared" si="227"/>
        <v>0</v>
      </c>
      <c r="D155" s="4">
        <f t="shared" si="227"/>
        <v>0</v>
      </c>
      <c r="E155" s="4">
        <f t="shared" si="227"/>
        <v>0</v>
      </c>
      <c r="F155" s="4">
        <f t="shared" si="227"/>
        <v>0</v>
      </c>
      <c r="G155" s="4">
        <f t="shared" si="227"/>
        <v>0</v>
      </c>
      <c r="H155" s="4">
        <f t="shared" si="227"/>
        <v>0</v>
      </c>
      <c r="I155" s="4">
        <f t="shared" si="227"/>
        <v>0</v>
      </c>
      <c r="J155" s="4">
        <f t="shared" si="227"/>
        <v>0</v>
      </c>
      <c r="K155" s="4">
        <f t="shared" ref="K155:S155" si="240">IF($A92&gt;K$3,0,K91*$C$5)</f>
        <v>0</v>
      </c>
      <c r="L155" s="4">
        <f t="shared" si="240"/>
        <v>0</v>
      </c>
      <c r="M155" s="4">
        <f t="shared" si="240"/>
        <v>0</v>
      </c>
      <c r="N155" s="4">
        <f t="shared" si="240"/>
        <v>0</v>
      </c>
      <c r="O155" s="4">
        <f t="shared" si="240"/>
        <v>0</v>
      </c>
      <c r="P155" s="4">
        <f t="shared" si="240"/>
        <v>0</v>
      </c>
      <c r="Q155" s="4">
        <f t="shared" si="240"/>
        <v>0</v>
      </c>
      <c r="R155" s="4">
        <f t="shared" si="240"/>
        <v>0</v>
      </c>
      <c r="S155" s="4">
        <f t="shared" si="240"/>
        <v>0</v>
      </c>
      <c r="T155" s="4">
        <f t="shared" ref="T155:U155" si="241">IF($A92&gt;T$3,0,T91*$C$5)</f>
        <v>0</v>
      </c>
      <c r="U155" s="4">
        <f t="shared" si="241"/>
        <v>0</v>
      </c>
    </row>
    <row r="156" spans="1:21" x14ac:dyDescent="0.3">
      <c r="A156">
        <f t="shared" si="166"/>
        <v>38</v>
      </c>
      <c r="B156" s="1">
        <f>VLOOKUP(A156,dates!A:B,2,0)</f>
        <v>46082</v>
      </c>
      <c r="C156" s="4">
        <f t="shared" si="227"/>
        <v>0</v>
      </c>
      <c r="D156" s="4">
        <f t="shared" si="227"/>
        <v>0</v>
      </c>
      <c r="E156" s="4">
        <f t="shared" si="227"/>
        <v>0</v>
      </c>
      <c r="F156" s="4">
        <f t="shared" si="227"/>
        <v>0</v>
      </c>
      <c r="G156" s="4">
        <f t="shared" si="227"/>
        <v>0</v>
      </c>
      <c r="H156" s="4">
        <f t="shared" si="227"/>
        <v>0</v>
      </c>
      <c r="I156" s="4">
        <f t="shared" si="227"/>
        <v>0</v>
      </c>
      <c r="J156" s="4">
        <f t="shared" si="227"/>
        <v>0</v>
      </c>
      <c r="K156" s="4">
        <f t="shared" ref="K156:S156" si="242">IF($A93&gt;K$3,0,K92*$C$5)</f>
        <v>0</v>
      </c>
      <c r="L156" s="4">
        <f t="shared" si="242"/>
        <v>0</v>
      </c>
      <c r="M156" s="4">
        <f t="shared" si="242"/>
        <v>0</v>
      </c>
      <c r="N156" s="4">
        <f t="shared" si="242"/>
        <v>0</v>
      </c>
      <c r="O156" s="4">
        <f t="shared" si="242"/>
        <v>0</v>
      </c>
      <c r="P156" s="4">
        <f t="shared" si="242"/>
        <v>0</v>
      </c>
      <c r="Q156" s="4">
        <f t="shared" si="242"/>
        <v>0</v>
      </c>
      <c r="R156" s="4">
        <f t="shared" si="242"/>
        <v>0</v>
      </c>
      <c r="S156" s="4">
        <f t="shared" si="242"/>
        <v>0</v>
      </c>
      <c r="T156" s="4">
        <f t="shared" ref="T156:U156" si="243">IF($A93&gt;T$3,0,T92*$C$5)</f>
        <v>0</v>
      </c>
      <c r="U156" s="4">
        <f t="shared" si="243"/>
        <v>0</v>
      </c>
    </row>
    <row r="157" spans="1:21" x14ac:dyDescent="0.3">
      <c r="A157">
        <f t="shared" si="166"/>
        <v>39</v>
      </c>
      <c r="B157" s="1">
        <f>VLOOKUP(A157,dates!A:B,2,0)</f>
        <v>46113</v>
      </c>
      <c r="C157" s="4">
        <f t="shared" si="227"/>
        <v>0</v>
      </c>
      <c r="D157" s="4">
        <f t="shared" si="227"/>
        <v>0</v>
      </c>
      <c r="E157" s="4">
        <f t="shared" si="227"/>
        <v>0</v>
      </c>
      <c r="F157" s="4">
        <f t="shared" si="227"/>
        <v>0</v>
      </c>
      <c r="G157" s="4">
        <f t="shared" si="227"/>
        <v>0</v>
      </c>
      <c r="H157" s="4">
        <f t="shared" si="227"/>
        <v>0</v>
      </c>
      <c r="I157" s="4">
        <f t="shared" si="227"/>
        <v>0</v>
      </c>
      <c r="J157" s="4">
        <f t="shared" si="227"/>
        <v>0</v>
      </c>
      <c r="K157" s="4">
        <f t="shared" ref="K157:S157" si="244">IF($A94&gt;K$3,0,K93*$C$5)</f>
        <v>0</v>
      </c>
      <c r="L157" s="4">
        <f t="shared" si="244"/>
        <v>0</v>
      </c>
      <c r="M157" s="4">
        <f t="shared" si="244"/>
        <v>0</v>
      </c>
      <c r="N157" s="4">
        <f t="shared" si="244"/>
        <v>0</v>
      </c>
      <c r="O157" s="4">
        <f t="shared" si="244"/>
        <v>0</v>
      </c>
      <c r="P157" s="4">
        <f t="shared" si="244"/>
        <v>0</v>
      </c>
      <c r="Q157" s="4">
        <f t="shared" si="244"/>
        <v>0</v>
      </c>
      <c r="R157" s="4">
        <f t="shared" si="244"/>
        <v>0</v>
      </c>
      <c r="S157" s="4">
        <f t="shared" si="244"/>
        <v>0</v>
      </c>
      <c r="T157" s="4">
        <f t="shared" ref="T157:U157" si="245">IF($A94&gt;T$3,0,T93*$C$5)</f>
        <v>0</v>
      </c>
      <c r="U157" s="4">
        <f t="shared" si="245"/>
        <v>0</v>
      </c>
    </row>
    <row r="158" spans="1:21" x14ac:dyDescent="0.3">
      <c r="A158">
        <f t="shared" si="166"/>
        <v>40</v>
      </c>
      <c r="B158" s="1">
        <f>VLOOKUP(A158,dates!A:B,2,0)</f>
        <v>46143</v>
      </c>
      <c r="C158" s="4">
        <f t="shared" si="227"/>
        <v>0</v>
      </c>
      <c r="D158" s="4">
        <f t="shared" si="227"/>
        <v>0</v>
      </c>
      <c r="E158" s="4">
        <f t="shared" si="227"/>
        <v>0</v>
      </c>
      <c r="F158" s="4">
        <f t="shared" si="227"/>
        <v>0</v>
      </c>
      <c r="G158" s="4">
        <f t="shared" si="227"/>
        <v>0</v>
      </c>
      <c r="H158" s="4">
        <f t="shared" si="227"/>
        <v>0</v>
      </c>
      <c r="I158" s="4">
        <f t="shared" si="227"/>
        <v>0</v>
      </c>
      <c r="J158" s="4">
        <f t="shared" si="227"/>
        <v>0</v>
      </c>
      <c r="K158" s="4">
        <f t="shared" ref="K158:S158" si="246">IF($A95&gt;K$3,0,K94*$C$5)</f>
        <v>0</v>
      </c>
      <c r="L158" s="4">
        <f t="shared" si="246"/>
        <v>0</v>
      </c>
      <c r="M158" s="4">
        <f t="shared" si="246"/>
        <v>0</v>
      </c>
      <c r="N158" s="4">
        <f t="shared" si="246"/>
        <v>0</v>
      </c>
      <c r="O158" s="4">
        <f t="shared" si="246"/>
        <v>0</v>
      </c>
      <c r="P158" s="4">
        <f t="shared" si="246"/>
        <v>0</v>
      </c>
      <c r="Q158" s="4">
        <f t="shared" si="246"/>
        <v>0</v>
      </c>
      <c r="R158" s="4">
        <f t="shared" si="246"/>
        <v>0</v>
      </c>
      <c r="S158" s="4">
        <f t="shared" si="246"/>
        <v>0</v>
      </c>
      <c r="T158" s="4">
        <f t="shared" ref="T158:U158" si="247">IF($A95&gt;T$3,0,T94*$C$5)</f>
        <v>0</v>
      </c>
      <c r="U158" s="4">
        <f t="shared" si="247"/>
        <v>0</v>
      </c>
    </row>
    <row r="159" spans="1:21" x14ac:dyDescent="0.3">
      <c r="A159">
        <f t="shared" si="166"/>
        <v>41</v>
      </c>
      <c r="B159" s="1">
        <f>VLOOKUP(A159,dates!A:B,2,0)</f>
        <v>46174</v>
      </c>
      <c r="C159" s="4">
        <f t="shared" ref="C159:J168" si="248">IF($A96&gt;C$3,0,C95*$C$5)</f>
        <v>0</v>
      </c>
      <c r="D159" s="4">
        <f t="shared" si="248"/>
        <v>0</v>
      </c>
      <c r="E159" s="4">
        <f t="shared" si="248"/>
        <v>0</v>
      </c>
      <c r="F159" s="4">
        <f t="shared" si="248"/>
        <v>0</v>
      </c>
      <c r="G159" s="4">
        <f t="shared" si="248"/>
        <v>0</v>
      </c>
      <c r="H159" s="4">
        <f t="shared" si="248"/>
        <v>0</v>
      </c>
      <c r="I159" s="4">
        <f t="shared" si="248"/>
        <v>0</v>
      </c>
      <c r="J159" s="4">
        <f t="shared" si="248"/>
        <v>0</v>
      </c>
      <c r="K159" s="4">
        <f t="shared" ref="K159:S159" si="249">IF($A96&gt;K$3,0,K95*$C$5)</f>
        <v>0</v>
      </c>
      <c r="L159" s="4">
        <f t="shared" si="249"/>
        <v>0</v>
      </c>
      <c r="M159" s="4">
        <f t="shared" si="249"/>
        <v>0</v>
      </c>
      <c r="N159" s="4">
        <f t="shared" si="249"/>
        <v>0</v>
      </c>
      <c r="O159" s="4">
        <f t="shared" si="249"/>
        <v>0</v>
      </c>
      <c r="P159" s="4">
        <f t="shared" si="249"/>
        <v>0</v>
      </c>
      <c r="Q159" s="4">
        <f t="shared" si="249"/>
        <v>0</v>
      </c>
      <c r="R159" s="4">
        <f t="shared" si="249"/>
        <v>0</v>
      </c>
      <c r="S159" s="4">
        <f t="shared" si="249"/>
        <v>0</v>
      </c>
      <c r="T159" s="4">
        <f t="shared" ref="T159:U159" si="250">IF($A96&gt;T$3,0,T95*$C$5)</f>
        <v>0</v>
      </c>
      <c r="U159" s="4">
        <f t="shared" si="250"/>
        <v>0</v>
      </c>
    </row>
    <row r="160" spans="1:21" x14ac:dyDescent="0.3">
      <c r="A160">
        <f t="shared" si="166"/>
        <v>42</v>
      </c>
      <c r="B160" s="1">
        <f>VLOOKUP(A160,dates!A:B,2,0)</f>
        <v>46204</v>
      </c>
      <c r="C160" s="4">
        <f t="shared" si="248"/>
        <v>0</v>
      </c>
      <c r="D160" s="4">
        <f t="shared" si="248"/>
        <v>0</v>
      </c>
      <c r="E160" s="4">
        <f t="shared" si="248"/>
        <v>0</v>
      </c>
      <c r="F160" s="4">
        <f t="shared" si="248"/>
        <v>0</v>
      </c>
      <c r="G160" s="4">
        <f t="shared" si="248"/>
        <v>0</v>
      </c>
      <c r="H160" s="4">
        <f t="shared" si="248"/>
        <v>0</v>
      </c>
      <c r="I160" s="4">
        <f t="shared" si="248"/>
        <v>0</v>
      </c>
      <c r="J160" s="4">
        <f t="shared" si="248"/>
        <v>0</v>
      </c>
      <c r="K160" s="4">
        <f t="shared" ref="K160:S160" si="251">IF($A97&gt;K$3,0,K96*$C$5)</f>
        <v>0</v>
      </c>
      <c r="L160" s="4">
        <f t="shared" si="251"/>
        <v>0</v>
      </c>
      <c r="M160" s="4">
        <f t="shared" si="251"/>
        <v>0</v>
      </c>
      <c r="N160" s="4">
        <f t="shared" si="251"/>
        <v>0</v>
      </c>
      <c r="O160" s="4">
        <f t="shared" si="251"/>
        <v>0</v>
      </c>
      <c r="P160" s="4">
        <f t="shared" si="251"/>
        <v>0</v>
      </c>
      <c r="Q160" s="4">
        <f t="shared" si="251"/>
        <v>0</v>
      </c>
      <c r="R160" s="4">
        <f t="shared" si="251"/>
        <v>0</v>
      </c>
      <c r="S160" s="4">
        <f t="shared" si="251"/>
        <v>0</v>
      </c>
      <c r="T160" s="4">
        <f t="shared" ref="T160:U160" si="252">IF($A97&gt;T$3,0,T96*$C$5)</f>
        <v>0</v>
      </c>
      <c r="U160" s="4">
        <f t="shared" si="252"/>
        <v>0</v>
      </c>
    </row>
    <row r="161" spans="1:21" x14ac:dyDescent="0.3">
      <c r="A161">
        <f t="shared" si="166"/>
        <v>43</v>
      </c>
      <c r="B161" s="1">
        <f>VLOOKUP(A161,dates!A:B,2,0)</f>
        <v>46235</v>
      </c>
      <c r="C161" s="4">
        <f t="shared" si="248"/>
        <v>0</v>
      </c>
      <c r="D161" s="4">
        <f t="shared" si="248"/>
        <v>0</v>
      </c>
      <c r="E161" s="4">
        <f t="shared" si="248"/>
        <v>0</v>
      </c>
      <c r="F161" s="4">
        <f t="shared" si="248"/>
        <v>0</v>
      </c>
      <c r="G161" s="4">
        <f t="shared" si="248"/>
        <v>0</v>
      </c>
      <c r="H161" s="4">
        <f t="shared" si="248"/>
        <v>0</v>
      </c>
      <c r="I161" s="4">
        <f t="shared" si="248"/>
        <v>0</v>
      </c>
      <c r="J161" s="4">
        <f t="shared" si="248"/>
        <v>0</v>
      </c>
      <c r="K161" s="4">
        <f t="shared" ref="K161:S161" si="253">IF($A98&gt;K$3,0,K97*$C$5)</f>
        <v>0</v>
      </c>
      <c r="L161" s="4">
        <f t="shared" si="253"/>
        <v>0</v>
      </c>
      <c r="M161" s="4">
        <f t="shared" si="253"/>
        <v>0</v>
      </c>
      <c r="N161" s="4">
        <f t="shared" si="253"/>
        <v>0</v>
      </c>
      <c r="O161" s="4">
        <f t="shared" si="253"/>
        <v>0</v>
      </c>
      <c r="P161" s="4">
        <f t="shared" si="253"/>
        <v>0</v>
      </c>
      <c r="Q161" s="4">
        <f t="shared" si="253"/>
        <v>0</v>
      </c>
      <c r="R161" s="4">
        <f t="shared" si="253"/>
        <v>0</v>
      </c>
      <c r="S161" s="4">
        <f t="shared" si="253"/>
        <v>0</v>
      </c>
      <c r="T161" s="4">
        <f t="shared" ref="T161:U161" si="254">IF($A98&gt;T$3,0,T97*$C$5)</f>
        <v>0</v>
      </c>
      <c r="U161" s="4">
        <f t="shared" si="254"/>
        <v>0</v>
      </c>
    </row>
    <row r="162" spans="1:21" x14ac:dyDescent="0.3">
      <c r="A162">
        <f t="shared" si="166"/>
        <v>44</v>
      </c>
      <c r="B162" s="1">
        <f>VLOOKUP(A162,dates!A:B,2,0)</f>
        <v>46266</v>
      </c>
      <c r="C162" s="4">
        <f t="shared" si="248"/>
        <v>0</v>
      </c>
      <c r="D162" s="4">
        <f t="shared" si="248"/>
        <v>0</v>
      </c>
      <c r="E162" s="4">
        <f t="shared" si="248"/>
        <v>0</v>
      </c>
      <c r="F162" s="4">
        <f t="shared" si="248"/>
        <v>0</v>
      </c>
      <c r="G162" s="4">
        <f t="shared" si="248"/>
        <v>0</v>
      </c>
      <c r="H162" s="4">
        <f t="shared" si="248"/>
        <v>0</v>
      </c>
      <c r="I162" s="4">
        <f t="shared" si="248"/>
        <v>0</v>
      </c>
      <c r="J162" s="4">
        <f t="shared" si="248"/>
        <v>0</v>
      </c>
      <c r="K162" s="4">
        <f t="shared" ref="K162:S162" si="255">IF($A99&gt;K$3,0,K98*$C$5)</f>
        <v>0</v>
      </c>
      <c r="L162" s="4">
        <f t="shared" si="255"/>
        <v>0</v>
      </c>
      <c r="M162" s="4">
        <f t="shared" si="255"/>
        <v>0</v>
      </c>
      <c r="N162" s="4">
        <f t="shared" si="255"/>
        <v>0</v>
      </c>
      <c r="O162" s="4">
        <f t="shared" si="255"/>
        <v>0</v>
      </c>
      <c r="P162" s="4">
        <f t="shared" si="255"/>
        <v>0</v>
      </c>
      <c r="Q162" s="4">
        <f t="shared" si="255"/>
        <v>0</v>
      </c>
      <c r="R162" s="4">
        <f t="shared" si="255"/>
        <v>0</v>
      </c>
      <c r="S162" s="4">
        <f t="shared" si="255"/>
        <v>0</v>
      </c>
      <c r="T162" s="4">
        <f t="shared" ref="T162:U162" si="256">IF($A99&gt;T$3,0,T98*$C$5)</f>
        <v>0</v>
      </c>
      <c r="U162" s="4">
        <f t="shared" si="256"/>
        <v>0</v>
      </c>
    </row>
    <row r="163" spans="1:21" x14ac:dyDescent="0.3">
      <c r="A163">
        <f t="shared" si="166"/>
        <v>45</v>
      </c>
      <c r="B163" s="1">
        <f>VLOOKUP(A163,dates!A:B,2,0)</f>
        <v>46296</v>
      </c>
      <c r="C163" s="4">
        <f t="shared" si="248"/>
        <v>0</v>
      </c>
      <c r="D163" s="4">
        <f t="shared" si="248"/>
        <v>0</v>
      </c>
      <c r="E163" s="4">
        <f t="shared" si="248"/>
        <v>0</v>
      </c>
      <c r="F163" s="4">
        <f t="shared" si="248"/>
        <v>0</v>
      </c>
      <c r="G163" s="4">
        <f t="shared" si="248"/>
        <v>0</v>
      </c>
      <c r="H163" s="4">
        <f t="shared" si="248"/>
        <v>0</v>
      </c>
      <c r="I163" s="4">
        <f t="shared" si="248"/>
        <v>0</v>
      </c>
      <c r="J163" s="4">
        <f t="shared" si="248"/>
        <v>0</v>
      </c>
      <c r="K163" s="4">
        <f t="shared" ref="K163:S163" si="257">IF($A100&gt;K$3,0,K99*$C$5)</f>
        <v>0</v>
      </c>
      <c r="L163" s="4">
        <f t="shared" si="257"/>
        <v>0</v>
      </c>
      <c r="M163" s="4">
        <f t="shared" si="257"/>
        <v>0</v>
      </c>
      <c r="N163" s="4">
        <f t="shared" si="257"/>
        <v>0</v>
      </c>
      <c r="O163" s="4">
        <f t="shared" si="257"/>
        <v>0</v>
      </c>
      <c r="P163" s="4">
        <f t="shared" si="257"/>
        <v>0</v>
      </c>
      <c r="Q163" s="4">
        <f t="shared" si="257"/>
        <v>0</v>
      </c>
      <c r="R163" s="4">
        <f t="shared" si="257"/>
        <v>0</v>
      </c>
      <c r="S163" s="4">
        <f t="shared" si="257"/>
        <v>0</v>
      </c>
      <c r="T163" s="4">
        <f t="shared" ref="T163:U163" si="258">IF($A100&gt;T$3,0,T99*$C$5)</f>
        <v>0</v>
      </c>
      <c r="U163" s="4">
        <f t="shared" si="258"/>
        <v>0</v>
      </c>
    </row>
    <row r="164" spans="1:21" x14ac:dyDescent="0.3">
      <c r="A164">
        <f t="shared" si="166"/>
        <v>46</v>
      </c>
      <c r="B164" s="1">
        <f>VLOOKUP(A164,dates!A:B,2,0)</f>
        <v>46327</v>
      </c>
      <c r="C164" s="4">
        <f t="shared" si="248"/>
        <v>0</v>
      </c>
      <c r="D164" s="4">
        <f t="shared" si="248"/>
        <v>0</v>
      </c>
      <c r="E164" s="4">
        <f t="shared" si="248"/>
        <v>0</v>
      </c>
      <c r="F164" s="4">
        <f t="shared" si="248"/>
        <v>0</v>
      </c>
      <c r="G164" s="4">
        <f t="shared" si="248"/>
        <v>0</v>
      </c>
      <c r="H164" s="4">
        <f t="shared" si="248"/>
        <v>0</v>
      </c>
      <c r="I164" s="4">
        <f t="shared" si="248"/>
        <v>0</v>
      </c>
      <c r="J164" s="4">
        <f t="shared" si="248"/>
        <v>0</v>
      </c>
      <c r="K164" s="4">
        <f t="shared" ref="K164:S164" si="259">IF($A101&gt;K$3,0,K100*$C$5)</f>
        <v>0</v>
      </c>
      <c r="L164" s="4">
        <f t="shared" si="259"/>
        <v>0</v>
      </c>
      <c r="M164" s="4">
        <f t="shared" si="259"/>
        <v>0</v>
      </c>
      <c r="N164" s="4">
        <f t="shared" si="259"/>
        <v>0</v>
      </c>
      <c r="O164" s="4">
        <f t="shared" si="259"/>
        <v>0</v>
      </c>
      <c r="P164" s="4">
        <f t="shared" si="259"/>
        <v>0</v>
      </c>
      <c r="Q164" s="4">
        <f t="shared" si="259"/>
        <v>0</v>
      </c>
      <c r="R164" s="4">
        <f t="shared" si="259"/>
        <v>0</v>
      </c>
      <c r="S164" s="4">
        <f t="shared" si="259"/>
        <v>0</v>
      </c>
      <c r="T164" s="4">
        <f t="shared" ref="T164:U164" si="260">IF($A101&gt;T$3,0,T100*$C$5)</f>
        <v>0</v>
      </c>
      <c r="U164" s="4">
        <f t="shared" si="260"/>
        <v>0</v>
      </c>
    </row>
    <row r="165" spans="1:21" x14ac:dyDescent="0.3">
      <c r="A165">
        <f t="shared" si="166"/>
        <v>47</v>
      </c>
      <c r="B165" s="1">
        <f>VLOOKUP(A165,dates!A:B,2,0)</f>
        <v>46357</v>
      </c>
      <c r="C165" s="4">
        <f t="shared" si="248"/>
        <v>0</v>
      </c>
      <c r="D165" s="4">
        <f t="shared" si="248"/>
        <v>0</v>
      </c>
      <c r="E165" s="4">
        <f t="shared" si="248"/>
        <v>0</v>
      </c>
      <c r="F165" s="4">
        <f t="shared" si="248"/>
        <v>0</v>
      </c>
      <c r="G165" s="4">
        <f t="shared" si="248"/>
        <v>0</v>
      </c>
      <c r="H165" s="4">
        <f t="shared" si="248"/>
        <v>0</v>
      </c>
      <c r="I165" s="4">
        <f t="shared" si="248"/>
        <v>0</v>
      </c>
      <c r="J165" s="4">
        <f t="shared" si="248"/>
        <v>0</v>
      </c>
      <c r="K165" s="4">
        <f t="shared" ref="K165:S165" si="261">IF($A102&gt;K$3,0,K101*$C$5)</f>
        <v>0</v>
      </c>
      <c r="L165" s="4">
        <f t="shared" si="261"/>
        <v>0</v>
      </c>
      <c r="M165" s="4">
        <f t="shared" si="261"/>
        <v>0</v>
      </c>
      <c r="N165" s="4">
        <f t="shared" si="261"/>
        <v>0</v>
      </c>
      <c r="O165" s="4">
        <f t="shared" si="261"/>
        <v>0</v>
      </c>
      <c r="P165" s="4">
        <f t="shared" si="261"/>
        <v>0</v>
      </c>
      <c r="Q165" s="4">
        <f t="shared" si="261"/>
        <v>0</v>
      </c>
      <c r="R165" s="4">
        <f t="shared" si="261"/>
        <v>0</v>
      </c>
      <c r="S165" s="4">
        <f t="shared" si="261"/>
        <v>0</v>
      </c>
      <c r="T165" s="4">
        <f t="shared" ref="T165:U165" si="262">IF($A102&gt;T$3,0,T101*$C$5)</f>
        <v>0</v>
      </c>
      <c r="U165" s="4">
        <f t="shared" si="262"/>
        <v>0</v>
      </c>
    </row>
    <row r="166" spans="1:21" x14ac:dyDescent="0.3">
      <c r="A166">
        <f t="shared" si="166"/>
        <v>48</v>
      </c>
      <c r="B166" s="1">
        <f>VLOOKUP(A166,dates!A:B,2,0)</f>
        <v>46388</v>
      </c>
      <c r="C166" s="4">
        <f t="shared" si="248"/>
        <v>0</v>
      </c>
      <c r="D166" s="4">
        <f t="shared" si="248"/>
        <v>0</v>
      </c>
      <c r="E166" s="4">
        <f t="shared" si="248"/>
        <v>0</v>
      </c>
      <c r="F166" s="4">
        <f t="shared" si="248"/>
        <v>0</v>
      </c>
      <c r="G166" s="4">
        <f t="shared" si="248"/>
        <v>0</v>
      </c>
      <c r="H166" s="4">
        <f t="shared" si="248"/>
        <v>0</v>
      </c>
      <c r="I166" s="4">
        <f t="shared" si="248"/>
        <v>0</v>
      </c>
      <c r="J166" s="4">
        <f t="shared" si="248"/>
        <v>0</v>
      </c>
      <c r="K166" s="4">
        <f t="shared" ref="K166:S166" si="263">IF($A103&gt;K$3,0,K102*$C$5)</f>
        <v>0</v>
      </c>
      <c r="L166" s="4">
        <f t="shared" si="263"/>
        <v>0</v>
      </c>
      <c r="M166" s="4">
        <f t="shared" si="263"/>
        <v>0</v>
      </c>
      <c r="N166" s="4">
        <f t="shared" si="263"/>
        <v>0</v>
      </c>
      <c r="O166" s="4">
        <f t="shared" si="263"/>
        <v>0</v>
      </c>
      <c r="P166" s="4">
        <f t="shared" si="263"/>
        <v>0</v>
      </c>
      <c r="Q166" s="4">
        <f t="shared" si="263"/>
        <v>0</v>
      </c>
      <c r="R166" s="4">
        <f t="shared" si="263"/>
        <v>0</v>
      </c>
      <c r="S166" s="4">
        <f t="shared" si="263"/>
        <v>0</v>
      </c>
      <c r="T166" s="4">
        <f t="shared" ref="T166:U166" si="264">IF($A103&gt;T$3,0,T102*$C$5)</f>
        <v>0</v>
      </c>
      <c r="U166" s="4">
        <f t="shared" si="264"/>
        <v>0</v>
      </c>
    </row>
    <row r="167" spans="1:21" x14ac:dyDescent="0.3">
      <c r="A167">
        <f t="shared" si="166"/>
        <v>49</v>
      </c>
      <c r="B167" s="1">
        <f>VLOOKUP(A167,dates!A:B,2,0)</f>
        <v>46419</v>
      </c>
      <c r="C167" s="4">
        <f t="shared" si="248"/>
        <v>0</v>
      </c>
      <c r="D167" s="4">
        <f t="shared" si="248"/>
        <v>0</v>
      </c>
      <c r="E167" s="4">
        <f t="shared" si="248"/>
        <v>0</v>
      </c>
      <c r="F167" s="4">
        <f t="shared" si="248"/>
        <v>0</v>
      </c>
      <c r="G167" s="4">
        <f t="shared" si="248"/>
        <v>0</v>
      </c>
      <c r="H167" s="4">
        <f t="shared" si="248"/>
        <v>0</v>
      </c>
      <c r="I167" s="4">
        <f t="shared" si="248"/>
        <v>0</v>
      </c>
      <c r="J167" s="4">
        <f t="shared" si="248"/>
        <v>0</v>
      </c>
      <c r="K167" s="4">
        <f t="shared" ref="K167:S167" si="265">IF($A104&gt;K$3,0,K103*$C$5)</f>
        <v>0</v>
      </c>
      <c r="L167" s="4">
        <f t="shared" si="265"/>
        <v>0</v>
      </c>
      <c r="M167" s="4">
        <f t="shared" si="265"/>
        <v>0</v>
      </c>
      <c r="N167" s="4">
        <f t="shared" si="265"/>
        <v>0</v>
      </c>
      <c r="O167" s="4">
        <f t="shared" si="265"/>
        <v>0</v>
      </c>
      <c r="P167" s="4">
        <f t="shared" si="265"/>
        <v>0</v>
      </c>
      <c r="Q167" s="4">
        <f t="shared" si="265"/>
        <v>0</v>
      </c>
      <c r="R167" s="4">
        <f t="shared" si="265"/>
        <v>0</v>
      </c>
      <c r="S167" s="4">
        <f t="shared" si="265"/>
        <v>0</v>
      </c>
      <c r="T167" s="4">
        <f t="shared" ref="T167:U167" si="266">IF($A104&gt;T$3,0,T103*$C$5)</f>
        <v>0</v>
      </c>
      <c r="U167" s="4">
        <f t="shared" si="266"/>
        <v>0</v>
      </c>
    </row>
    <row r="168" spans="1:21" x14ac:dyDescent="0.3">
      <c r="A168">
        <f t="shared" si="166"/>
        <v>50</v>
      </c>
      <c r="B168" s="1">
        <f>VLOOKUP(A168,dates!A:B,2,0)</f>
        <v>46447</v>
      </c>
      <c r="C168" s="4">
        <f t="shared" si="248"/>
        <v>0</v>
      </c>
      <c r="D168" s="4">
        <f t="shared" si="248"/>
        <v>0</v>
      </c>
      <c r="E168" s="4">
        <f t="shared" si="248"/>
        <v>0</v>
      </c>
      <c r="F168" s="4">
        <f t="shared" si="248"/>
        <v>0</v>
      </c>
      <c r="G168" s="4">
        <f t="shared" si="248"/>
        <v>0</v>
      </c>
      <c r="H168" s="4">
        <f t="shared" si="248"/>
        <v>0</v>
      </c>
      <c r="I168" s="4">
        <f t="shared" si="248"/>
        <v>0</v>
      </c>
      <c r="J168" s="4">
        <f t="shared" si="248"/>
        <v>0</v>
      </c>
      <c r="K168" s="4">
        <f t="shared" ref="K168:S168" si="267">IF($A105&gt;K$3,0,K104*$C$5)</f>
        <v>0</v>
      </c>
      <c r="L168" s="4">
        <f t="shared" si="267"/>
        <v>0</v>
      </c>
      <c r="M168" s="4">
        <f t="shared" si="267"/>
        <v>0</v>
      </c>
      <c r="N168" s="4">
        <f t="shared" si="267"/>
        <v>0</v>
      </c>
      <c r="O168" s="4">
        <f t="shared" si="267"/>
        <v>0</v>
      </c>
      <c r="P168" s="4">
        <f t="shared" si="267"/>
        <v>0</v>
      </c>
      <c r="Q168" s="4">
        <f t="shared" si="267"/>
        <v>0</v>
      </c>
      <c r="R168" s="4">
        <f t="shared" si="267"/>
        <v>0</v>
      </c>
      <c r="S168" s="4">
        <f t="shared" si="267"/>
        <v>0</v>
      </c>
      <c r="T168" s="4">
        <f t="shared" ref="T168:U168" si="268">IF($A105&gt;T$3,0,T104*$C$5)</f>
        <v>0</v>
      </c>
      <c r="U168" s="4">
        <f t="shared" si="268"/>
        <v>0</v>
      </c>
    </row>
    <row r="169" spans="1:21" x14ac:dyDescent="0.3">
      <c r="A169">
        <f t="shared" si="166"/>
        <v>51</v>
      </c>
      <c r="B169" s="1">
        <f>VLOOKUP(A169,dates!A:B,2,0)</f>
        <v>46478</v>
      </c>
      <c r="C169" s="4">
        <f t="shared" ref="C169:J178" si="269">IF($A106&gt;C$3,0,C105*$C$5)</f>
        <v>0</v>
      </c>
      <c r="D169" s="4">
        <f t="shared" si="269"/>
        <v>0</v>
      </c>
      <c r="E169" s="4">
        <f t="shared" si="269"/>
        <v>0</v>
      </c>
      <c r="F169" s="4">
        <f t="shared" si="269"/>
        <v>0</v>
      </c>
      <c r="G169" s="4">
        <f t="shared" si="269"/>
        <v>0</v>
      </c>
      <c r="H169" s="4">
        <f t="shared" si="269"/>
        <v>0</v>
      </c>
      <c r="I169" s="4">
        <f t="shared" si="269"/>
        <v>0</v>
      </c>
      <c r="J169" s="4">
        <f t="shared" si="269"/>
        <v>0</v>
      </c>
      <c r="K169" s="4">
        <f t="shared" ref="K169:S169" si="270">IF($A106&gt;K$3,0,K105*$C$5)</f>
        <v>0</v>
      </c>
      <c r="L169" s="4">
        <f t="shared" si="270"/>
        <v>0</v>
      </c>
      <c r="M169" s="4">
        <f t="shared" si="270"/>
        <v>0</v>
      </c>
      <c r="N169" s="4">
        <f t="shared" si="270"/>
        <v>0</v>
      </c>
      <c r="O169" s="4">
        <f t="shared" si="270"/>
        <v>0</v>
      </c>
      <c r="P169" s="4">
        <f t="shared" si="270"/>
        <v>0</v>
      </c>
      <c r="Q169" s="4">
        <f t="shared" si="270"/>
        <v>0</v>
      </c>
      <c r="R169" s="4">
        <f t="shared" si="270"/>
        <v>0</v>
      </c>
      <c r="S169" s="4">
        <f t="shared" si="270"/>
        <v>0</v>
      </c>
      <c r="T169" s="4">
        <f t="shared" ref="T169:U169" si="271">IF($A106&gt;T$3,0,T105*$C$5)</f>
        <v>0</v>
      </c>
      <c r="U169" s="4">
        <f t="shared" si="271"/>
        <v>0</v>
      </c>
    </row>
    <row r="170" spans="1:21" x14ac:dyDescent="0.3">
      <c r="A170">
        <f t="shared" si="166"/>
        <v>52</v>
      </c>
      <c r="B170" s="1">
        <f>VLOOKUP(A170,dates!A:B,2,0)</f>
        <v>46508</v>
      </c>
      <c r="C170" s="4">
        <f t="shared" si="269"/>
        <v>0</v>
      </c>
      <c r="D170" s="4">
        <f t="shared" si="269"/>
        <v>0</v>
      </c>
      <c r="E170" s="4">
        <f t="shared" si="269"/>
        <v>0</v>
      </c>
      <c r="F170" s="4">
        <f t="shared" si="269"/>
        <v>0</v>
      </c>
      <c r="G170" s="4">
        <f t="shared" si="269"/>
        <v>0</v>
      </c>
      <c r="H170" s="4">
        <f t="shared" si="269"/>
        <v>0</v>
      </c>
      <c r="I170" s="4">
        <f t="shared" si="269"/>
        <v>0</v>
      </c>
      <c r="J170" s="4">
        <f t="shared" si="269"/>
        <v>0</v>
      </c>
      <c r="K170" s="4">
        <f t="shared" ref="K170:S170" si="272">IF($A107&gt;K$3,0,K106*$C$5)</f>
        <v>0</v>
      </c>
      <c r="L170" s="4">
        <f t="shared" si="272"/>
        <v>0</v>
      </c>
      <c r="M170" s="4">
        <f t="shared" si="272"/>
        <v>0</v>
      </c>
      <c r="N170" s="4">
        <f t="shared" si="272"/>
        <v>0</v>
      </c>
      <c r="O170" s="4">
        <f t="shared" si="272"/>
        <v>0</v>
      </c>
      <c r="P170" s="4">
        <f t="shared" si="272"/>
        <v>0</v>
      </c>
      <c r="Q170" s="4">
        <f t="shared" si="272"/>
        <v>0</v>
      </c>
      <c r="R170" s="4">
        <f t="shared" si="272"/>
        <v>0</v>
      </c>
      <c r="S170" s="4">
        <f t="shared" si="272"/>
        <v>0</v>
      </c>
      <c r="T170" s="4">
        <f t="shared" ref="T170:U170" si="273">IF($A107&gt;T$3,0,T106*$C$5)</f>
        <v>0</v>
      </c>
      <c r="U170" s="4">
        <f t="shared" si="273"/>
        <v>0</v>
      </c>
    </row>
    <row r="171" spans="1:21" x14ac:dyDescent="0.3">
      <c r="A171">
        <f t="shared" si="166"/>
        <v>53</v>
      </c>
      <c r="B171" s="1">
        <f>VLOOKUP(A171,dates!A:B,2,0)</f>
        <v>46539</v>
      </c>
      <c r="C171" s="4">
        <f t="shared" si="269"/>
        <v>0</v>
      </c>
      <c r="D171" s="4">
        <f t="shared" si="269"/>
        <v>0</v>
      </c>
      <c r="E171" s="4">
        <f t="shared" si="269"/>
        <v>0</v>
      </c>
      <c r="F171" s="4">
        <f t="shared" si="269"/>
        <v>0</v>
      </c>
      <c r="G171" s="4">
        <f t="shared" si="269"/>
        <v>0</v>
      </c>
      <c r="H171" s="4">
        <f t="shared" si="269"/>
        <v>0</v>
      </c>
      <c r="I171" s="4">
        <f t="shared" si="269"/>
        <v>0</v>
      </c>
      <c r="J171" s="4">
        <f t="shared" si="269"/>
        <v>0</v>
      </c>
      <c r="K171" s="4">
        <f t="shared" ref="K171:S171" si="274">IF($A108&gt;K$3,0,K107*$C$5)</f>
        <v>0</v>
      </c>
      <c r="L171" s="4">
        <f t="shared" si="274"/>
        <v>0</v>
      </c>
      <c r="M171" s="4">
        <f t="shared" si="274"/>
        <v>0</v>
      </c>
      <c r="N171" s="4">
        <f t="shared" si="274"/>
        <v>0</v>
      </c>
      <c r="O171" s="4">
        <f t="shared" si="274"/>
        <v>0</v>
      </c>
      <c r="P171" s="4">
        <f t="shared" si="274"/>
        <v>0</v>
      </c>
      <c r="Q171" s="4">
        <f t="shared" si="274"/>
        <v>0</v>
      </c>
      <c r="R171" s="4">
        <f t="shared" si="274"/>
        <v>0</v>
      </c>
      <c r="S171" s="4">
        <f t="shared" si="274"/>
        <v>0</v>
      </c>
      <c r="T171" s="4">
        <f t="shared" ref="T171:U171" si="275">IF($A108&gt;T$3,0,T107*$C$5)</f>
        <v>0</v>
      </c>
      <c r="U171" s="4">
        <f t="shared" si="275"/>
        <v>0</v>
      </c>
    </row>
    <row r="172" spans="1:21" x14ac:dyDescent="0.3">
      <c r="A172">
        <f t="shared" si="166"/>
        <v>54</v>
      </c>
      <c r="B172" s="1">
        <f>VLOOKUP(A172,dates!A:B,2,0)</f>
        <v>46569</v>
      </c>
      <c r="C172" s="4">
        <f t="shared" si="269"/>
        <v>0</v>
      </c>
      <c r="D172" s="4">
        <f t="shared" si="269"/>
        <v>0</v>
      </c>
      <c r="E172" s="4">
        <f t="shared" si="269"/>
        <v>0</v>
      </c>
      <c r="F172" s="4">
        <f t="shared" si="269"/>
        <v>0</v>
      </c>
      <c r="G172" s="4">
        <f t="shared" si="269"/>
        <v>0</v>
      </c>
      <c r="H172" s="4">
        <f t="shared" si="269"/>
        <v>0</v>
      </c>
      <c r="I172" s="4">
        <f t="shared" si="269"/>
        <v>0</v>
      </c>
      <c r="J172" s="4">
        <f t="shared" si="269"/>
        <v>0</v>
      </c>
      <c r="K172" s="4">
        <f t="shared" ref="K172:S172" si="276">IF($A109&gt;K$3,0,K108*$C$5)</f>
        <v>0</v>
      </c>
      <c r="L172" s="4">
        <f t="shared" si="276"/>
        <v>0</v>
      </c>
      <c r="M172" s="4">
        <f t="shared" si="276"/>
        <v>0</v>
      </c>
      <c r="N172" s="4">
        <f t="shared" si="276"/>
        <v>0</v>
      </c>
      <c r="O172" s="4">
        <f t="shared" si="276"/>
        <v>0</v>
      </c>
      <c r="P172" s="4">
        <f t="shared" si="276"/>
        <v>0</v>
      </c>
      <c r="Q172" s="4">
        <f t="shared" si="276"/>
        <v>0</v>
      </c>
      <c r="R172" s="4">
        <f t="shared" si="276"/>
        <v>0</v>
      </c>
      <c r="S172" s="4">
        <f t="shared" si="276"/>
        <v>0</v>
      </c>
      <c r="T172" s="4">
        <f t="shared" ref="T172:U172" si="277">IF($A109&gt;T$3,0,T108*$C$5)</f>
        <v>0</v>
      </c>
      <c r="U172" s="4">
        <f t="shared" si="277"/>
        <v>0</v>
      </c>
    </row>
    <row r="173" spans="1:21" x14ac:dyDescent="0.3">
      <c r="A173">
        <f t="shared" si="166"/>
        <v>55</v>
      </c>
      <c r="B173" s="1">
        <f>VLOOKUP(A173,dates!A:B,2,0)</f>
        <v>46600</v>
      </c>
      <c r="C173" s="4">
        <f t="shared" si="269"/>
        <v>0</v>
      </c>
      <c r="D173" s="4">
        <f t="shared" si="269"/>
        <v>0</v>
      </c>
      <c r="E173" s="4">
        <f t="shared" si="269"/>
        <v>0</v>
      </c>
      <c r="F173" s="4">
        <f t="shared" si="269"/>
        <v>0</v>
      </c>
      <c r="G173" s="4">
        <f t="shared" si="269"/>
        <v>0</v>
      </c>
      <c r="H173" s="4">
        <f t="shared" si="269"/>
        <v>0</v>
      </c>
      <c r="I173" s="4">
        <f t="shared" si="269"/>
        <v>0</v>
      </c>
      <c r="J173" s="4">
        <f t="shared" si="269"/>
        <v>0</v>
      </c>
      <c r="K173" s="4">
        <f t="shared" ref="K173:S173" si="278">IF($A110&gt;K$3,0,K109*$C$5)</f>
        <v>0</v>
      </c>
      <c r="L173" s="4">
        <f t="shared" si="278"/>
        <v>0</v>
      </c>
      <c r="M173" s="4">
        <f t="shared" si="278"/>
        <v>0</v>
      </c>
      <c r="N173" s="4">
        <f t="shared" si="278"/>
        <v>0</v>
      </c>
      <c r="O173" s="4">
        <f t="shared" si="278"/>
        <v>0</v>
      </c>
      <c r="P173" s="4">
        <f t="shared" si="278"/>
        <v>0</v>
      </c>
      <c r="Q173" s="4">
        <f t="shared" si="278"/>
        <v>0</v>
      </c>
      <c r="R173" s="4">
        <f t="shared" si="278"/>
        <v>0</v>
      </c>
      <c r="S173" s="4">
        <f t="shared" si="278"/>
        <v>0</v>
      </c>
      <c r="T173" s="4">
        <f t="shared" ref="T173:U173" si="279">IF($A110&gt;T$3,0,T109*$C$5)</f>
        <v>0</v>
      </c>
      <c r="U173" s="4">
        <f t="shared" si="279"/>
        <v>0</v>
      </c>
    </row>
    <row r="174" spans="1:21" x14ac:dyDescent="0.3">
      <c r="A174">
        <f t="shared" si="166"/>
        <v>56</v>
      </c>
      <c r="B174" s="1">
        <f>VLOOKUP(A174,dates!A:B,2,0)</f>
        <v>46631</v>
      </c>
      <c r="C174" s="4">
        <f t="shared" si="269"/>
        <v>0</v>
      </c>
      <c r="D174" s="4">
        <f t="shared" si="269"/>
        <v>0</v>
      </c>
      <c r="E174" s="4">
        <f t="shared" si="269"/>
        <v>0</v>
      </c>
      <c r="F174" s="4">
        <f t="shared" si="269"/>
        <v>0</v>
      </c>
      <c r="G174" s="4">
        <f t="shared" si="269"/>
        <v>0</v>
      </c>
      <c r="H174" s="4">
        <f t="shared" si="269"/>
        <v>0</v>
      </c>
      <c r="I174" s="4">
        <f t="shared" si="269"/>
        <v>0</v>
      </c>
      <c r="J174" s="4">
        <f t="shared" si="269"/>
        <v>0</v>
      </c>
      <c r="K174" s="4">
        <f t="shared" ref="K174:S174" si="280">IF($A111&gt;K$3,0,K110*$C$5)</f>
        <v>0</v>
      </c>
      <c r="L174" s="4">
        <f t="shared" si="280"/>
        <v>0</v>
      </c>
      <c r="M174" s="4">
        <f t="shared" si="280"/>
        <v>0</v>
      </c>
      <c r="N174" s="4">
        <f t="shared" si="280"/>
        <v>0</v>
      </c>
      <c r="O174" s="4">
        <f t="shared" si="280"/>
        <v>0</v>
      </c>
      <c r="P174" s="4">
        <f t="shared" si="280"/>
        <v>0</v>
      </c>
      <c r="Q174" s="4">
        <f t="shared" si="280"/>
        <v>0</v>
      </c>
      <c r="R174" s="4">
        <f t="shared" si="280"/>
        <v>0</v>
      </c>
      <c r="S174" s="4">
        <f t="shared" si="280"/>
        <v>0</v>
      </c>
      <c r="T174" s="4">
        <f t="shared" ref="T174:U174" si="281">IF($A111&gt;T$3,0,T110*$C$5)</f>
        <v>0</v>
      </c>
      <c r="U174" s="4">
        <f t="shared" si="281"/>
        <v>0</v>
      </c>
    </row>
    <row r="175" spans="1:21" x14ac:dyDescent="0.3">
      <c r="A175">
        <f t="shared" si="166"/>
        <v>57</v>
      </c>
      <c r="B175" s="1">
        <f>VLOOKUP(A175,dates!A:B,2,0)</f>
        <v>46661</v>
      </c>
      <c r="C175" s="4">
        <f t="shared" si="269"/>
        <v>0</v>
      </c>
      <c r="D175" s="4">
        <f t="shared" si="269"/>
        <v>0</v>
      </c>
      <c r="E175" s="4">
        <f t="shared" si="269"/>
        <v>0</v>
      </c>
      <c r="F175" s="4">
        <f t="shared" si="269"/>
        <v>0</v>
      </c>
      <c r="G175" s="4">
        <f t="shared" si="269"/>
        <v>0</v>
      </c>
      <c r="H175" s="4">
        <f t="shared" si="269"/>
        <v>0</v>
      </c>
      <c r="I175" s="4">
        <f t="shared" si="269"/>
        <v>0</v>
      </c>
      <c r="J175" s="4">
        <f t="shared" si="269"/>
        <v>0</v>
      </c>
      <c r="K175" s="4">
        <f t="shared" ref="K175:S175" si="282">IF($A112&gt;K$3,0,K111*$C$5)</f>
        <v>0</v>
      </c>
      <c r="L175" s="4">
        <f t="shared" si="282"/>
        <v>0</v>
      </c>
      <c r="M175" s="4">
        <f t="shared" si="282"/>
        <v>0</v>
      </c>
      <c r="N175" s="4">
        <f t="shared" si="282"/>
        <v>0</v>
      </c>
      <c r="O175" s="4">
        <f t="shared" si="282"/>
        <v>0</v>
      </c>
      <c r="P175" s="4">
        <f t="shared" si="282"/>
        <v>0</v>
      </c>
      <c r="Q175" s="4">
        <f t="shared" si="282"/>
        <v>0</v>
      </c>
      <c r="R175" s="4">
        <f t="shared" si="282"/>
        <v>0</v>
      </c>
      <c r="S175" s="4">
        <f t="shared" si="282"/>
        <v>0</v>
      </c>
      <c r="T175" s="4">
        <f t="shared" ref="T175:U175" si="283">IF($A112&gt;T$3,0,T111*$C$5)</f>
        <v>0</v>
      </c>
      <c r="U175" s="4">
        <f t="shared" si="283"/>
        <v>0</v>
      </c>
    </row>
    <row r="176" spans="1:21" x14ac:dyDescent="0.3">
      <c r="A176">
        <f t="shared" si="166"/>
        <v>58</v>
      </c>
      <c r="B176" s="1">
        <f>VLOOKUP(A176,dates!A:B,2,0)</f>
        <v>46692</v>
      </c>
      <c r="C176" s="4">
        <f t="shared" si="269"/>
        <v>0</v>
      </c>
      <c r="D176" s="4">
        <f t="shared" si="269"/>
        <v>0</v>
      </c>
      <c r="E176" s="4">
        <f t="shared" si="269"/>
        <v>0</v>
      </c>
      <c r="F176" s="4">
        <f t="shared" si="269"/>
        <v>0</v>
      </c>
      <c r="G176" s="4">
        <f t="shared" si="269"/>
        <v>0</v>
      </c>
      <c r="H176" s="4">
        <f t="shared" si="269"/>
        <v>0</v>
      </c>
      <c r="I176" s="4">
        <f t="shared" si="269"/>
        <v>0</v>
      </c>
      <c r="J176" s="4">
        <f t="shared" si="269"/>
        <v>0</v>
      </c>
      <c r="K176" s="4">
        <f t="shared" ref="K176:S176" si="284">IF($A113&gt;K$3,0,K112*$C$5)</f>
        <v>0</v>
      </c>
      <c r="L176" s="4">
        <f t="shared" si="284"/>
        <v>0</v>
      </c>
      <c r="M176" s="4">
        <f t="shared" si="284"/>
        <v>0</v>
      </c>
      <c r="N176" s="4">
        <f t="shared" si="284"/>
        <v>0</v>
      </c>
      <c r="O176" s="4">
        <f t="shared" si="284"/>
        <v>0</v>
      </c>
      <c r="P176" s="4">
        <f t="shared" si="284"/>
        <v>0</v>
      </c>
      <c r="Q176" s="4">
        <f t="shared" si="284"/>
        <v>0</v>
      </c>
      <c r="R176" s="4">
        <f t="shared" si="284"/>
        <v>0</v>
      </c>
      <c r="S176" s="4">
        <f t="shared" si="284"/>
        <v>0</v>
      </c>
      <c r="T176" s="4">
        <f t="shared" ref="T176:U176" si="285">IF($A113&gt;T$3,0,T112*$C$5)</f>
        <v>0</v>
      </c>
      <c r="U176" s="4">
        <f t="shared" si="285"/>
        <v>0</v>
      </c>
    </row>
    <row r="177" spans="1:21" x14ac:dyDescent="0.3">
      <c r="A177">
        <f t="shared" si="166"/>
        <v>59</v>
      </c>
      <c r="B177" s="1">
        <f>VLOOKUP(A177,dates!A:B,2,0)</f>
        <v>46722</v>
      </c>
      <c r="C177" s="4">
        <f t="shared" si="269"/>
        <v>0</v>
      </c>
      <c r="D177" s="4">
        <f t="shared" si="269"/>
        <v>0</v>
      </c>
      <c r="E177" s="4">
        <f t="shared" si="269"/>
        <v>0</v>
      </c>
      <c r="F177" s="4">
        <f t="shared" si="269"/>
        <v>0</v>
      </c>
      <c r="G177" s="4">
        <f t="shared" si="269"/>
        <v>0</v>
      </c>
      <c r="H177" s="4">
        <f t="shared" si="269"/>
        <v>0</v>
      </c>
      <c r="I177" s="4">
        <f t="shared" si="269"/>
        <v>0</v>
      </c>
      <c r="J177" s="4">
        <f t="shared" si="269"/>
        <v>0</v>
      </c>
      <c r="K177" s="4">
        <f t="shared" ref="K177:S177" si="286">IF($A114&gt;K$3,0,K113*$C$5)</f>
        <v>0</v>
      </c>
      <c r="L177" s="4">
        <f t="shared" si="286"/>
        <v>0</v>
      </c>
      <c r="M177" s="4">
        <f t="shared" si="286"/>
        <v>0</v>
      </c>
      <c r="N177" s="4">
        <f t="shared" si="286"/>
        <v>0</v>
      </c>
      <c r="O177" s="4">
        <f t="shared" si="286"/>
        <v>0</v>
      </c>
      <c r="P177" s="4">
        <f t="shared" si="286"/>
        <v>0</v>
      </c>
      <c r="Q177" s="4">
        <f t="shared" si="286"/>
        <v>0</v>
      </c>
      <c r="R177" s="4">
        <f t="shared" si="286"/>
        <v>0</v>
      </c>
      <c r="S177" s="4">
        <f t="shared" si="286"/>
        <v>0</v>
      </c>
      <c r="T177" s="4">
        <f t="shared" ref="T177:U177" si="287">IF($A114&gt;T$3,0,T113*$C$5)</f>
        <v>0</v>
      </c>
      <c r="U177" s="4">
        <f t="shared" si="287"/>
        <v>0</v>
      </c>
    </row>
    <row r="178" spans="1:21" x14ac:dyDescent="0.3">
      <c r="A178">
        <f t="shared" si="166"/>
        <v>60</v>
      </c>
      <c r="B178" s="1">
        <f>VLOOKUP(A178,dates!A:B,2,0)</f>
        <v>46753</v>
      </c>
      <c r="C178" s="4">
        <f t="shared" si="269"/>
        <v>0</v>
      </c>
      <c r="D178" s="4">
        <f t="shared" si="269"/>
        <v>0</v>
      </c>
      <c r="E178" s="4">
        <f t="shared" si="269"/>
        <v>0</v>
      </c>
      <c r="F178" s="4">
        <f t="shared" si="269"/>
        <v>0</v>
      </c>
      <c r="G178" s="4">
        <f t="shared" si="269"/>
        <v>0</v>
      </c>
      <c r="H178" s="4">
        <f t="shared" si="269"/>
        <v>0</v>
      </c>
      <c r="I178" s="4">
        <f t="shared" si="269"/>
        <v>0</v>
      </c>
      <c r="J178" s="4">
        <f t="shared" si="269"/>
        <v>0</v>
      </c>
      <c r="K178" s="4">
        <f t="shared" ref="K178:S178" si="288">IF($A115&gt;K$3,0,K114*$C$5)</f>
        <v>0</v>
      </c>
      <c r="L178" s="4">
        <f t="shared" si="288"/>
        <v>0</v>
      </c>
      <c r="M178" s="4">
        <f t="shared" si="288"/>
        <v>0</v>
      </c>
      <c r="N178" s="4">
        <f t="shared" si="288"/>
        <v>0</v>
      </c>
      <c r="O178" s="4">
        <f t="shared" si="288"/>
        <v>0</v>
      </c>
      <c r="P178" s="4">
        <f t="shared" si="288"/>
        <v>0</v>
      </c>
      <c r="Q178" s="4">
        <f t="shared" si="288"/>
        <v>0</v>
      </c>
      <c r="R178" s="4">
        <f t="shared" si="288"/>
        <v>0</v>
      </c>
      <c r="S178" s="4">
        <f t="shared" si="288"/>
        <v>0</v>
      </c>
      <c r="T178" s="4">
        <f t="shared" ref="T178:U178" si="289">IF($A115&gt;T$3,0,T114*$C$5)</f>
        <v>0</v>
      </c>
      <c r="U178" s="4">
        <f t="shared" si="289"/>
        <v>0</v>
      </c>
    </row>
    <row r="180" spans="1:21" x14ac:dyDescent="0.3">
      <c r="A180" t="s">
        <v>14</v>
      </c>
      <c r="B180" t="s">
        <v>13</v>
      </c>
      <c r="C180" s="3" t="s">
        <v>1</v>
      </c>
      <c r="D180" s="3" t="s">
        <v>1</v>
      </c>
      <c r="E180" s="3" t="s">
        <v>1</v>
      </c>
      <c r="F180" s="3" t="s">
        <v>1</v>
      </c>
      <c r="G180" s="3" t="s">
        <v>1</v>
      </c>
      <c r="H180" s="3" t="s">
        <v>1</v>
      </c>
      <c r="I180" s="3" t="s">
        <v>1</v>
      </c>
      <c r="J180" s="3" t="s">
        <v>1</v>
      </c>
      <c r="K180" s="3" t="s">
        <v>1</v>
      </c>
      <c r="L180" s="3" t="s">
        <v>1</v>
      </c>
      <c r="M180" s="3" t="s">
        <v>1</v>
      </c>
      <c r="N180" s="3" t="s">
        <v>1</v>
      </c>
      <c r="O180" s="3" t="s">
        <v>1</v>
      </c>
      <c r="P180" s="3" t="s">
        <v>1</v>
      </c>
      <c r="Q180" s="3" t="s">
        <v>1</v>
      </c>
      <c r="R180" s="3" t="s">
        <v>1</v>
      </c>
      <c r="S180" s="3" t="s">
        <v>1</v>
      </c>
      <c r="T180" s="3" t="s">
        <v>1</v>
      </c>
      <c r="U180" s="3" t="s">
        <v>1</v>
      </c>
    </row>
    <row r="181" spans="1:21" x14ac:dyDescent="0.3">
      <c r="A181">
        <v>0</v>
      </c>
      <c r="B181" s="1">
        <f>VLOOKUP(A181,dates!A:B,2,0)</f>
        <v>44927</v>
      </c>
    </row>
    <row r="182" spans="1:21" x14ac:dyDescent="0.3">
      <c r="A182">
        <v>1</v>
      </c>
      <c r="B182" s="1">
        <f>VLOOKUP(A182,dates!A:B,2,0)</f>
        <v>44958</v>
      </c>
      <c r="C182" s="4">
        <f t="shared" ref="C182:J191" si="290">IF($A56&gt;C$3,0,C119*$C$6)</f>
        <v>15</v>
      </c>
      <c r="D182" s="4">
        <f t="shared" si="290"/>
        <v>15</v>
      </c>
      <c r="E182" s="4">
        <f t="shared" si="290"/>
        <v>15</v>
      </c>
      <c r="F182" s="4">
        <f t="shared" si="290"/>
        <v>15</v>
      </c>
      <c r="G182" s="4">
        <f t="shared" si="290"/>
        <v>15</v>
      </c>
      <c r="H182" s="4">
        <f t="shared" si="290"/>
        <v>15</v>
      </c>
      <c r="I182" s="4">
        <f t="shared" si="290"/>
        <v>15</v>
      </c>
      <c r="J182" s="4">
        <f t="shared" si="290"/>
        <v>15</v>
      </c>
      <c r="K182" s="4">
        <f t="shared" ref="K182:S182" si="291">IF($A56&gt;K$3,0,K119*$C$6)</f>
        <v>15</v>
      </c>
      <c r="L182" s="4">
        <f t="shared" si="291"/>
        <v>15</v>
      </c>
      <c r="M182" s="4">
        <f t="shared" si="291"/>
        <v>15</v>
      </c>
      <c r="N182" s="4">
        <f t="shared" si="291"/>
        <v>15</v>
      </c>
      <c r="O182" s="4">
        <f t="shared" si="291"/>
        <v>15</v>
      </c>
      <c r="P182" s="4">
        <f t="shared" si="291"/>
        <v>15</v>
      </c>
      <c r="Q182" s="4">
        <f t="shared" si="291"/>
        <v>15</v>
      </c>
      <c r="R182" s="4">
        <f t="shared" si="291"/>
        <v>15</v>
      </c>
      <c r="S182" s="4">
        <f t="shared" si="291"/>
        <v>15</v>
      </c>
      <c r="T182" s="4">
        <f t="shared" ref="T182:U182" si="292">IF($A56&gt;T$3,0,T119*$C$6)</f>
        <v>15</v>
      </c>
      <c r="U182" s="4">
        <f t="shared" si="292"/>
        <v>15</v>
      </c>
    </row>
    <row r="183" spans="1:21" x14ac:dyDescent="0.3">
      <c r="A183">
        <f t="shared" ref="A183:A241" si="293">A182+1</f>
        <v>2</v>
      </c>
      <c r="B183" s="1">
        <f>VLOOKUP(A183,dates!A:B,2,0)</f>
        <v>44986</v>
      </c>
      <c r="C183" s="4">
        <f t="shared" si="290"/>
        <v>9.9144403124669953</v>
      </c>
      <c r="D183" s="4">
        <f t="shared" si="290"/>
        <v>12.430025775420415</v>
      </c>
      <c r="E183" s="4">
        <f t="shared" si="290"/>
        <v>13.268134748253571</v>
      </c>
      <c r="F183" s="4">
        <f t="shared" si="290"/>
        <v>13.435672685561659</v>
      </c>
      <c r="G183" s="4">
        <f t="shared" si="290"/>
        <v>13.686874834615722</v>
      </c>
      <c r="H183" s="4">
        <f t="shared" si="290"/>
        <v>13.937867630492359</v>
      </c>
      <c r="I183" s="4">
        <f t="shared" si="290"/>
        <v>14.104987063689519</v>
      </c>
      <c r="J183" s="4">
        <f t="shared" si="290"/>
        <v>14.313416966637421</v>
      </c>
      <c r="K183" s="4">
        <f t="shared" ref="K183:S183" si="294">IF($A57&gt;K$3,0,K120*$C$6)</f>
        <v>14.520601927075088</v>
      </c>
      <c r="L183" s="4">
        <f t="shared" si="294"/>
        <v>9.9144403124669953</v>
      </c>
      <c r="M183" s="4">
        <f t="shared" si="294"/>
        <v>12.392916380829357</v>
      </c>
      <c r="N183" s="4">
        <f t="shared" si="294"/>
        <v>13.218412555219855</v>
      </c>
      <c r="O183" s="4">
        <f t="shared" si="294"/>
        <v>13.383362657023335</v>
      </c>
      <c r="P183" s="4">
        <f t="shared" si="294"/>
        <v>13.630589518713801</v>
      </c>
      <c r="Q183" s="4">
        <f t="shared" si="294"/>
        <v>13.877544918565015</v>
      </c>
      <c r="R183" s="4">
        <f t="shared" si="294"/>
        <v>14.041769483476298</v>
      </c>
      <c r="S183" s="4">
        <f t="shared" si="294"/>
        <v>14.246368650271702</v>
      </c>
      <c r="T183" s="4">
        <f t="shared" ref="T183:U183" si="295">IF($A57&gt;T$3,0,T120*$C$6)</f>
        <v>14.448897402637421</v>
      </c>
      <c r="U183" s="4">
        <f t="shared" si="295"/>
        <v>13.824573392581245</v>
      </c>
    </row>
    <row r="184" spans="1:21" x14ac:dyDescent="0.3">
      <c r="A184">
        <f t="shared" si="293"/>
        <v>3</v>
      </c>
      <c r="B184" s="1">
        <f>VLOOKUP(A184,dates!A:B,2,0)</f>
        <v>45017</v>
      </c>
      <c r="C184" s="4">
        <f t="shared" si="290"/>
        <v>4.8136239458713908</v>
      </c>
      <c r="D184" s="4">
        <f t="shared" si="290"/>
        <v>9.8523416281670908</v>
      </c>
      <c r="E184" s="4">
        <f t="shared" si="290"/>
        <v>11.531073900751899</v>
      </c>
      <c r="F184" s="4">
        <f t="shared" si="290"/>
        <v>11.866652389180002</v>
      </c>
      <c r="G184" s="4">
        <f t="shared" si="290"/>
        <v>12.369810293735293</v>
      </c>
      <c r="H184" s="4">
        <f t="shared" si="290"/>
        <v>12.872548863876194</v>
      </c>
      <c r="I184" s="4">
        <f t="shared" si="290"/>
        <v>13.207289088570105</v>
      </c>
      <c r="J184" s="4">
        <f t="shared" si="290"/>
        <v>13.624774184174752</v>
      </c>
      <c r="K184" s="4">
        <f t="shared" ref="K184:S184" si="296">IF($A58&gt;K$3,0,K121*$C$6)</f>
        <v>14.039765659931399</v>
      </c>
      <c r="L184" s="4">
        <f t="shared" si="296"/>
        <v>4.8136239458713908</v>
      </c>
      <c r="M184" s="4">
        <f t="shared" si="296"/>
        <v>9.7780115108012016</v>
      </c>
      <c r="N184" s="4">
        <f t="shared" si="296"/>
        <v>11.431480348105369</v>
      </c>
      <c r="O184" s="4">
        <f t="shared" si="296"/>
        <v>11.76187540201774</v>
      </c>
      <c r="P184" s="4">
        <f t="shared" si="296"/>
        <v>12.257070805983743</v>
      </c>
      <c r="Q184" s="4">
        <f t="shared" si="296"/>
        <v>12.751722471885722</v>
      </c>
      <c r="R184" s="4">
        <f t="shared" si="296"/>
        <v>13.080664275403024</v>
      </c>
      <c r="S184" s="4">
        <f t="shared" si="296"/>
        <v>13.490476406494215</v>
      </c>
      <c r="T184" s="4">
        <f t="shared" ref="T184:U184" si="297">IF($A58&gt;T$3,0,T121*$C$6)</f>
        <v>13.896141497482757</v>
      </c>
      <c r="U184" s="4">
        <f t="shared" si="297"/>
        <v>12.645620505340233</v>
      </c>
    </row>
    <row r="185" spans="1:21" x14ac:dyDescent="0.3">
      <c r="A185">
        <f t="shared" si="293"/>
        <v>4</v>
      </c>
      <c r="B185" s="1">
        <f>VLOOKUP(A185,dates!A:B,2,0)</f>
        <v>45047</v>
      </c>
      <c r="C185" s="4">
        <f t="shared" si="290"/>
        <v>0</v>
      </c>
      <c r="D185" s="4">
        <f t="shared" si="290"/>
        <v>7.2669244284720085</v>
      </c>
      <c r="E185" s="4">
        <f t="shared" si="290"/>
        <v>9.788801870707724</v>
      </c>
      <c r="F185" s="4">
        <f t="shared" si="290"/>
        <v>10.292925031909201</v>
      </c>
      <c r="G185" s="4">
        <f t="shared" si="290"/>
        <v>11.048794559232224</v>
      </c>
      <c r="H185" s="4">
        <f t="shared" si="290"/>
        <v>11.80403414096018</v>
      </c>
      <c r="I185" s="4">
        <f t="shared" si="290"/>
        <v>12.306898019525335</v>
      </c>
      <c r="J185" s="4">
        <f t="shared" si="290"/>
        <v>12.934065473364695</v>
      </c>
      <c r="K185" s="4">
        <f t="shared" ref="K185:S185" si="298">IF($A59&gt;K$3,0,K122*$C$6)</f>
        <v>13.557486883986279</v>
      </c>
      <c r="L185" s="4">
        <f t="shared" si="298"/>
        <v>0</v>
      </c>
      <c r="M185" s="4">
        <f t="shared" si="298"/>
        <v>7.1552619261629626</v>
      </c>
      <c r="N185" s="4">
        <f t="shared" si="298"/>
        <v>9.6391873443695406</v>
      </c>
      <c r="O185" s="4">
        <f t="shared" si="298"/>
        <v>10.135523685247128</v>
      </c>
      <c r="P185" s="4">
        <f t="shared" si="298"/>
        <v>10.879431537115497</v>
      </c>
      <c r="Q185" s="4">
        <f t="shared" si="298"/>
        <v>11.622522557866395</v>
      </c>
      <c r="R185" s="4">
        <f t="shared" si="298"/>
        <v>12.116675751705531</v>
      </c>
      <c r="S185" s="4">
        <f t="shared" si="298"/>
        <v>12.732316485985399</v>
      </c>
      <c r="T185" s="4">
        <f t="shared" ref="T185:U185" si="299">IF($A59&gt;T$3,0,T122*$C$6)</f>
        <v>13.341727324612629</v>
      </c>
      <c r="U185" s="4">
        <f t="shared" si="299"/>
        <v>11.463130759437501</v>
      </c>
    </row>
    <row r="186" spans="1:21" x14ac:dyDescent="0.3">
      <c r="A186">
        <f t="shared" si="293"/>
        <v>5</v>
      </c>
      <c r="B186" s="1">
        <f>VLOOKUP(A186,dates!A:B,2,0)</f>
        <v>45078</v>
      </c>
      <c r="C186" s="4">
        <f t="shared" si="290"/>
        <v>0</v>
      </c>
      <c r="D186" s="4">
        <f t="shared" si="290"/>
        <v>4.67375097717784</v>
      </c>
      <c r="E186" s="4">
        <f t="shared" si="290"/>
        <v>8.0413030245734163</v>
      </c>
      <c r="F186" s="4">
        <f t="shared" si="290"/>
        <v>8.7144764925665879</v>
      </c>
      <c r="G186" s="4">
        <f t="shared" si="290"/>
        <v>9.7238157775256457</v>
      </c>
      <c r="H186" s="4">
        <f t="shared" si="290"/>
        <v>10.73231387387542</v>
      </c>
      <c r="I186" s="4">
        <f t="shared" si="290"/>
        <v>11.403805777273428</v>
      </c>
      <c r="J186" s="4">
        <f t="shared" si="290"/>
        <v>12.241284636422208</v>
      </c>
      <c r="K186" s="4">
        <f t="shared" ref="K186:S186" si="300">IF($A60&gt;K$3,0,K123*$C$6)</f>
        <v>13.073761271713325</v>
      </c>
      <c r="L186" s="4">
        <f t="shared" si="300"/>
        <v>0</v>
      </c>
      <c r="M186" s="4">
        <f t="shared" si="300"/>
        <v>4.5246440927708074</v>
      </c>
      <c r="N186" s="4">
        <f t="shared" si="300"/>
        <v>7.841517461622507</v>
      </c>
      <c r="O186" s="4">
        <f t="shared" si="300"/>
        <v>8.5042929133262017</v>
      </c>
      <c r="P186" s="4">
        <f t="shared" si="300"/>
        <v>9.4976593504406441</v>
      </c>
      <c r="Q186" s="4">
        <f t="shared" si="300"/>
        <v>10.489935044105009</v>
      </c>
      <c r="R186" s="4">
        <f t="shared" si="300"/>
        <v>11.149795262436944</v>
      </c>
      <c r="S186" s="4">
        <f t="shared" si="300"/>
        <v>11.971882085715057</v>
      </c>
      <c r="T186" s="4">
        <f t="shared" ref="T186:U186" si="301">IF($A60&gt;T$3,0,T123*$C$6)</f>
        <v>12.785649909223888</v>
      </c>
      <c r="U186" s="4">
        <f t="shared" si="301"/>
        <v>10.277093544297058</v>
      </c>
    </row>
    <row r="187" spans="1:21" x14ac:dyDescent="0.3">
      <c r="A187">
        <f t="shared" si="293"/>
        <v>6</v>
      </c>
      <c r="B187" s="1">
        <f>VLOOKUP(A187,dates!A:B,2,0)</f>
        <v>45108</v>
      </c>
      <c r="C187" s="4">
        <f t="shared" si="290"/>
        <v>0</v>
      </c>
      <c r="D187" s="4">
        <f t="shared" si="290"/>
        <v>2.0727980055297888</v>
      </c>
      <c r="E187" s="4">
        <f t="shared" si="290"/>
        <v>6.2885616819007071</v>
      </c>
      <c r="F187" s="4">
        <f t="shared" si="290"/>
        <v>7.1312926076059462</v>
      </c>
      <c r="G187" s="4">
        <f t="shared" si="290"/>
        <v>8.3948620594739438</v>
      </c>
      <c r="H187" s="4">
        <f t="shared" si="290"/>
        <v>9.6573784459894032</v>
      </c>
      <c r="I187" s="4">
        <f t="shared" si="290"/>
        <v>10.498004258294769</v>
      </c>
      <c r="J187" s="4">
        <f t="shared" si="290"/>
        <v>11.546425456968896</v>
      </c>
      <c r="K187" s="4">
        <f t="shared" ref="K187:S187" si="302">IF($A61&gt;K$3,0,K124*$C$6)</f>
        <v>12.588584482603549</v>
      </c>
      <c r="L187" s="4">
        <f t="shared" si="302"/>
        <v>0</v>
      </c>
      <c r="M187" s="4">
        <f t="shared" si="302"/>
        <v>1.8861344058784766</v>
      </c>
      <c r="N187" s="4">
        <f t="shared" si="302"/>
        <v>6.0384545692272305</v>
      </c>
      <c r="O187" s="4">
        <f t="shared" si="302"/>
        <v>6.8681684490895156</v>
      </c>
      <c r="P187" s="4">
        <f t="shared" si="302"/>
        <v>8.1117418472057672</v>
      </c>
      <c r="Q187" s="4">
        <f t="shared" si="302"/>
        <v>9.3539497678023356</v>
      </c>
      <c r="R187" s="4">
        <f t="shared" si="302"/>
        <v>10.180014131700551</v>
      </c>
      <c r="S187" s="4">
        <f t="shared" si="302"/>
        <v>11.209166382243902</v>
      </c>
      <c r="T187" s="4">
        <f t="shared" ref="T187:U187" si="303">IF($A61&gt;T$3,0,T124*$C$6)</f>
        <v>12.22790426158898</v>
      </c>
      <c r="U187" s="4">
        <f t="shared" si="303"/>
        <v>9.0874982175111931</v>
      </c>
    </row>
    <row r="188" spans="1:21" x14ac:dyDescent="0.3">
      <c r="A188">
        <f t="shared" si="293"/>
        <v>7</v>
      </c>
      <c r="B188" s="1">
        <f>VLOOKUP(A188,dates!A:B,2,0)</f>
        <v>45139</v>
      </c>
      <c r="C188" s="4">
        <f t="shared" si="290"/>
        <v>0</v>
      </c>
      <c r="D188" s="4">
        <f t="shared" si="290"/>
        <v>0</v>
      </c>
      <c r="E188" s="4">
        <f t="shared" si="290"/>
        <v>4.5305621151999782</v>
      </c>
      <c r="F188" s="4">
        <f t="shared" si="290"/>
        <v>5.5433591709904224</v>
      </c>
      <c r="G188" s="4">
        <f t="shared" si="290"/>
        <v>7.061921480268091</v>
      </c>
      <c r="H188" s="4">
        <f t="shared" si="290"/>
        <v>8.5792182118197307</v>
      </c>
      <c r="I188" s="4">
        <f t="shared" si="290"/>
        <v>9.5894853347591713</v>
      </c>
      <c r="J188" s="4">
        <f t="shared" si="290"/>
        <v>10.84948169997722</v>
      </c>
      <c r="K188" s="4">
        <f t="shared" ref="K188:S188" si="304">IF($A62&gt;K$3,0,K125*$C$6)</f>
        <v>12.101952163126446</v>
      </c>
      <c r="L188" s="4">
        <f t="shared" si="304"/>
        <v>0</v>
      </c>
      <c r="M188" s="4">
        <f t="shared" si="304"/>
        <v>0</v>
      </c>
      <c r="N188" s="4">
        <f t="shared" si="304"/>
        <v>4.2299824881547679</v>
      </c>
      <c r="O188" s="4">
        <f t="shared" si="304"/>
        <v>5.2271356114601186</v>
      </c>
      <c r="P188" s="4">
        <f t="shared" si="304"/>
        <v>6.7216665914611875</v>
      </c>
      <c r="Q188" s="4">
        <f t="shared" si="304"/>
        <v>8.2145565356707557</v>
      </c>
      <c r="R188" s="4">
        <f t="shared" si="304"/>
        <v>9.2073236575719495</v>
      </c>
      <c r="S188" s="4">
        <f t="shared" si="304"/>
        <v>10.444162531662336</v>
      </c>
      <c r="T188" s="4">
        <f t="shared" ref="T188:U188" si="305">IF($A62&gt;T$3,0,T125*$C$6)</f>
        <v>11.668485377011169</v>
      </c>
      <c r="U188" s="4">
        <f t="shared" si="305"/>
        <v>7.8943341047449724</v>
      </c>
    </row>
    <row r="189" spans="1:21" x14ac:dyDescent="0.3">
      <c r="A189">
        <f t="shared" si="293"/>
        <v>8</v>
      </c>
      <c r="B189" s="1">
        <f>VLOOKUP(A189,dates!A:B,2,0)</f>
        <v>45170</v>
      </c>
      <c r="C189" s="4">
        <f t="shared" si="290"/>
        <v>0</v>
      </c>
      <c r="D189" s="4">
        <f t="shared" si="290"/>
        <v>0</v>
      </c>
      <c r="E189" s="4">
        <f t="shared" si="290"/>
        <v>2.7672885497991477</v>
      </c>
      <c r="F189" s="4">
        <f t="shared" si="290"/>
        <v>3.9506619340650531</v>
      </c>
      <c r="G189" s="4">
        <f t="shared" si="290"/>
        <v>5.7249820793246187</v>
      </c>
      <c r="H189" s="4">
        <f t="shared" si="290"/>
        <v>7.4978234969475475</v>
      </c>
      <c r="I189" s="4">
        <f t="shared" si="290"/>
        <v>8.6782408544529677</v>
      </c>
      <c r="J189" s="4">
        <f t="shared" si="290"/>
        <v>10.150447111714572</v>
      </c>
      <c r="K189" s="4">
        <f t="shared" ref="K189:S189" si="306">IF($A63&gt;K$3,0,K126*$C$6)</f>
        <v>11.613859946690914</v>
      </c>
      <c r="L189" s="4">
        <f t="shared" si="306"/>
        <v>0</v>
      </c>
      <c r="M189" s="4">
        <f t="shared" si="306"/>
        <v>0</v>
      </c>
      <c r="N189" s="4">
        <f t="shared" si="306"/>
        <v>2.4160849908390882</v>
      </c>
      <c r="O189" s="4">
        <f t="shared" si="306"/>
        <v>3.5811796753178333</v>
      </c>
      <c r="P189" s="4">
        <f t="shared" si="306"/>
        <v>5.3274211099493707</v>
      </c>
      <c r="Q189" s="4">
        <f t="shared" si="306"/>
        <v>7.0717451238427813</v>
      </c>
      <c r="R189" s="4">
        <f t="shared" si="306"/>
        <v>8.2317151120209608</v>
      </c>
      <c r="S189" s="4">
        <f t="shared" si="306"/>
        <v>9.6768636695290233</v>
      </c>
      <c r="T189" s="4">
        <f t="shared" ref="T189:U189" si="307">IF($A63&gt;T$3,0,T126*$C$6)</f>
        <v>11.107388235779625</v>
      </c>
      <c r="U189" s="4">
        <f t="shared" si="307"/>
        <v>6.6975904996404534</v>
      </c>
    </row>
    <row r="190" spans="1:21" x14ac:dyDescent="0.3">
      <c r="A190">
        <f t="shared" si="293"/>
        <v>9</v>
      </c>
      <c r="B190" s="1">
        <f>VLOOKUP(A190,dates!A:B,2,0)</f>
        <v>45200</v>
      </c>
      <c r="C190" s="4">
        <f t="shared" si="290"/>
        <v>0</v>
      </c>
      <c r="D190" s="4">
        <f t="shared" si="290"/>
        <v>0</v>
      </c>
      <c r="E190" s="4">
        <f t="shared" si="290"/>
        <v>0.99872516370211439</v>
      </c>
      <c r="F190" s="4">
        <f t="shared" si="290"/>
        <v>2.3531866054289066</v>
      </c>
      <c r="G190" s="4">
        <f t="shared" si="290"/>
        <v>4.3840318601783164</v>
      </c>
      <c r="H190" s="4">
        <f t="shared" si="290"/>
        <v>6.4131845979307487</v>
      </c>
      <c r="I190" s="4">
        <f t="shared" si="290"/>
        <v>7.7642626407058453</v>
      </c>
      <c r="J190" s="4">
        <f t="shared" si="290"/>
        <v>9.4493154196871352</v>
      </c>
      <c r="K190" s="4">
        <f t="shared" ref="K190:S190" si="308">IF($A64&gt;K$3,0,K127*$C$6)</f>
        <v>11.124303453606073</v>
      </c>
      <c r="L190" s="4">
        <f t="shared" si="308"/>
        <v>0</v>
      </c>
      <c r="M190" s="4">
        <f t="shared" si="308"/>
        <v>0</v>
      </c>
      <c r="N190" s="4">
        <f t="shared" si="308"/>
        <v>0.59674580103146169</v>
      </c>
      <c r="O190" s="4">
        <f t="shared" si="308"/>
        <v>1.9302858713671209</v>
      </c>
      <c r="P190" s="4">
        <f t="shared" si="308"/>
        <v>3.9289928919930204</v>
      </c>
      <c r="Q190" s="4">
        <f t="shared" si="308"/>
        <v>5.9255052777793242</v>
      </c>
      <c r="R190" s="4">
        <f t="shared" si="308"/>
        <v>7.2531797408333212</v>
      </c>
      <c r="S190" s="4">
        <f t="shared" si="308"/>
        <v>8.90726291080931</v>
      </c>
      <c r="T190" s="4">
        <f t="shared" ref="T190:U190" si="309">IF($A64&gt;T$3,0,T127*$C$6)</f>
        <v>10.544607803124384</v>
      </c>
      <c r="U190" s="4">
        <f t="shared" si="309"/>
        <v>5.4972566637206208</v>
      </c>
    </row>
    <row r="191" spans="1:21" x14ac:dyDescent="0.3">
      <c r="A191">
        <f t="shared" si="293"/>
        <v>10</v>
      </c>
      <c r="B191" s="1">
        <f>VLOOKUP(A191,dates!A:B,2,0)</f>
        <v>45231</v>
      </c>
      <c r="C191" s="4">
        <f t="shared" si="290"/>
        <v>0</v>
      </c>
      <c r="D191" s="4">
        <f t="shared" si="290"/>
        <v>0</v>
      </c>
      <c r="E191" s="4">
        <f t="shared" si="290"/>
        <v>0</v>
      </c>
      <c r="F191" s="4">
        <f t="shared" si="290"/>
        <v>0.75091885080685228</v>
      </c>
      <c r="G191" s="4">
        <f t="shared" si="290"/>
        <v>3.0390587903745758</v>
      </c>
      <c r="H191" s="4">
        <f t="shared" si="290"/>
        <v>5.3252917822169001</v>
      </c>
      <c r="I191" s="4">
        <f t="shared" si="290"/>
        <v>6.8475424923174817</v>
      </c>
      <c r="J191" s="4">
        <f t="shared" si="290"/>
        <v>8.7460803325836167</v>
      </c>
      <c r="K191" s="4">
        <f t="shared" ref="K191:S191" si="310">IF($A65&gt;K$3,0,K128*$C$6)</f>
        <v>10.633278291041979</v>
      </c>
      <c r="L191" s="4">
        <f t="shared" si="310"/>
        <v>0</v>
      </c>
      <c r="M191" s="4">
        <f t="shared" si="310"/>
        <v>0</v>
      </c>
      <c r="N191" s="4">
        <f t="shared" si="310"/>
        <v>0</v>
      </c>
      <c r="O191" s="4">
        <f t="shared" si="310"/>
        <v>0.27443938600455681</v>
      </c>
      <c r="P191" s="4">
        <f t="shared" si="310"/>
        <v>2.5263693893828005</v>
      </c>
      <c r="Q191" s="4">
        <f t="shared" si="310"/>
        <v>4.7758267121776754</v>
      </c>
      <c r="R191" s="4">
        <f t="shared" si="310"/>
        <v>6.2717087635321178</v>
      </c>
      <c r="S191" s="4">
        <f t="shared" si="310"/>
        <v>8.1353533498134389</v>
      </c>
      <c r="T191" s="4">
        <f t="shared" ref="T191:U191" si="311">IF($A65&gt;T$3,0,T128*$C$6)</f>
        <v>9.9801390291711787</v>
      </c>
      <c r="U191" s="4">
        <f t="shared" si="311"/>
        <v>4.2933218262930275</v>
      </c>
    </row>
    <row r="192" spans="1:21" x14ac:dyDescent="0.3">
      <c r="A192">
        <f t="shared" si="293"/>
        <v>11</v>
      </c>
      <c r="B192" s="1">
        <f>VLOOKUP(A192,dates!A:B,2,0)</f>
        <v>45261</v>
      </c>
      <c r="C192" s="4">
        <f t="shared" ref="C192:J201" si="312">IF($A66&gt;C$3,0,C129*$C$6)</f>
        <v>0</v>
      </c>
      <c r="D192" s="4">
        <f t="shared" si="312"/>
        <v>0</v>
      </c>
      <c r="E192" s="4">
        <f t="shared" si="312"/>
        <v>0</v>
      </c>
      <c r="F192" s="4">
        <f t="shared" si="312"/>
        <v>0</v>
      </c>
      <c r="G192" s="4">
        <f t="shared" si="312"/>
        <v>1.6900508013614233</v>
      </c>
      <c r="H192" s="4">
        <f t="shared" si="312"/>
        <v>4.2341352880559091</v>
      </c>
      <c r="I192" s="4">
        <f t="shared" si="312"/>
        <v>5.9280721834839527</v>
      </c>
      <c r="J192" s="4">
        <f t="shared" si="312"/>
        <v>8.0407355402187868</v>
      </c>
      <c r="K192" s="4">
        <f t="shared" ref="K192:S192" si="313">IF($A66&gt;K$3,0,K129*$C$6)</f>
        <v>10.140780052990191</v>
      </c>
      <c r="L192" s="4">
        <f t="shared" si="313"/>
        <v>0</v>
      </c>
      <c r="M192" s="4">
        <f t="shared" si="313"/>
        <v>0</v>
      </c>
      <c r="N192" s="4">
        <f t="shared" si="313"/>
        <v>0</v>
      </c>
      <c r="O192" s="4">
        <f t="shared" si="313"/>
        <v>0</v>
      </c>
      <c r="P192" s="4">
        <f t="shared" si="313"/>
        <v>1.1195380162647499</v>
      </c>
      <c r="Q192" s="4">
        <f t="shared" si="313"/>
        <v>3.6226991108792221</v>
      </c>
      <c r="R192" s="4">
        <f t="shared" si="313"/>
        <v>5.2872933732990113</v>
      </c>
      <c r="S192" s="4">
        <f t="shared" si="313"/>
        <v>7.361128060134579</v>
      </c>
      <c r="T192" s="4">
        <f t="shared" ref="T192:U192" si="314">IF($A66&gt;T$3,0,T129*$C$6)</f>
        <v>9.4139768488961142</v>
      </c>
      <c r="U192" s="4">
        <f t="shared" si="314"/>
        <v>3.0857751843531518</v>
      </c>
    </row>
    <row r="193" spans="1:21" x14ac:dyDescent="0.3">
      <c r="A193">
        <f t="shared" si="293"/>
        <v>12</v>
      </c>
      <c r="B193" s="1">
        <f>VLOOKUP(A193,dates!A:B,2,0)</f>
        <v>45292</v>
      </c>
      <c r="C193" s="4">
        <f t="shared" si="312"/>
        <v>0</v>
      </c>
      <c r="D193" s="4">
        <f t="shared" si="312"/>
        <v>0</v>
      </c>
      <c r="E193" s="4">
        <f t="shared" si="312"/>
        <v>0</v>
      </c>
      <c r="F193" s="4">
        <f t="shared" si="312"/>
        <v>0</v>
      </c>
      <c r="G193" s="4">
        <f t="shared" si="312"/>
        <v>0.33699578838123145</v>
      </c>
      <c r="H193" s="4">
        <f t="shared" si="312"/>
        <v>3.1397053244124349</v>
      </c>
      <c r="I193" s="4">
        <f t="shared" si="312"/>
        <v>5.0058434637239229</v>
      </c>
      <c r="J193" s="4">
        <f t="shared" si="312"/>
        <v>7.3332747134768628</v>
      </c>
      <c r="K193" s="4">
        <f t="shared" ref="K193:S193" si="315">IF($A67&gt;K$3,0,K130*$C$6)</f>
        <v>9.6468043202242502</v>
      </c>
      <c r="L193" s="4">
        <f t="shared" si="315"/>
        <v>0</v>
      </c>
      <c r="M193" s="4">
        <f t="shared" si="315"/>
        <v>0</v>
      </c>
      <c r="N193" s="4">
        <f t="shared" si="315"/>
        <v>0</v>
      </c>
      <c r="O193" s="4">
        <f t="shared" si="315"/>
        <v>0</v>
      </c>
      <c r="P193" s="4">
        <f t="shared" si="315"/>
        <v>-0.29151385097265481</v>
      </c>
      <c r="Q193" s="4">
        <f t="shared" si="315"/>
        <v>2.4661121267768742</v>
      </c>
      <c r="R193" s="4">
        <f t="shared" si="315"/>
        <v>4.2999247368952043</v>
      </c>
      <c r="S193" s="4">
        <f t="shared" si="315"/>
        <v>6.5845800945866833</v>
      </c>
      <c r="T193" s="4">
        <f t="shared" ref="T193:U193" si="316">IF($A67&gt;T$3,0,T130*$C$6)</f>
        <v>8.846116182080225</v>
      </c>
      <c r="U193" s="4">
        <f t="shared" si="316"/>
        <v>1.8746059024874571</v>
      </c>
    </row>
    <row r="194" spans="1:21" x14ac:dyDescent="0.3">
      <c r="A194">
        <f t="shared" si="293"/>
        <v>13</v>
      </c>
      <c r="B194" s="1">
        <f>VLOOKUP(A194,dates!A:B,2,0)</f>
        <v>45323</v>
      </c>
      <c r="C194" s="4">
        <f t="shared" si="312"/>
        <v>0</v>
      </c>
      <c r="D194" s="4">
        <f t="shared" si="312"/>
        <v>0</v>
      </c>
      <c r="E194" s="4">
        <f t="shared" si="312"/>
        <v>0</v>
      </c>
      <c r="F194" s="4">
        <f t="shared" si="312"/>
        <v>0</v>
      </c>
      <c r="G194" s="4">
        <f t="shared" si="312"/>
        <v>0</v>
      </c>
      <c r="H194" s="4">
        <f t="shared" si="312"/>
        <v>2.0419920708780306</v>
      </c>
      <c r="I194" s="4">
        <f t="shared" si="312"/>
        <v>4.080848057804614</v>
      </c>
      <c r="J194" s="4">
        <f t="shared" si="312"/>
        <v>6.6236915042547126</v>
      </c>
      <c r="K194" s="4">
        <f t="shared" ref="K194:S194" si="317">IF($A68&gt;K$3,0,K131*$C$6)</f>
        <v>9.1513466602600086</v>
      </c>
      <c r="L194" s="4">
        <f t="shared" si="317"/>
        <v>0</v>
      </c>
      <c r="M194" s="4">
        <f t="shared" si="317"/>
        <v>0</v>
      </c>
      <c r="N194" s="4">
        <f t="shared" si="317"/>
        <v>0</v>
      </c>
      <c r="O194" s="4">
        <f t="shared" si="317"/>
        <v>0</v>
      </c>
      <c r="P194" s="4">
        <f t="shared" si="317"/>
        <v>0</v>
      </c>
      <c r="Q194" s="4">
        <f t="shared" si="317"/>
        <v>1.3060553817222187</v>
      </c>
      <c r="R194" s="4">
        <f t="shared" si="317"/>
        <v>3.3095939945821864</v>
      </c>
      <c r="S194" s="4">
        <f t="shared" si="317"/>
        <v>5.8057024851421444</v>
      </c>
      <c r="T194" s="4">
        <f t="shared" ref="T194:U194" si="318">IF($A68&gt;T$3,0,T131*$C$6)</f>
        <v>8.2765519332638871</v>
      </c>
      <c r="U194" s="4">
        <f t="shared" si="318"/>
        <v>0.65980311277616499</v>
      </c>
    </row>
    <row r="195" spans="1:21" x14ac:dyDescent="0.3">
      <c r="A195">
        <f t="shared" si="293"/>
        <v>14</v>
      </c>
      <c r="B195" s="1">
        <f>VLOOKUP(A195,dates!A:B,2,0)</f>
        <v>45352</v>
      </c>
      <c r="C195" s="4">
        <f t="shared" si="312"/>
        <v>0</v>
      </c>
      <c r="D195" s="4">
        <f t="shared" si="312"/>
        <v>0</v>
      </c>
      <c r="E195" s="4">
        <f t="shared" si="312"/>
        <v>0</v>
      </c>
      <c r="F195" s="4">
        <f t="shared" si="312"/>
        <v>0</v>
      </c>
      <c r="G195" s="4">
        <f t="shared" si="312"/>
        <v>0</v>
      </c>
      <c r="H195" s="4">
        <f t="shared" si="312"/>
        <v>0.94098567758302321</v>
      </c>
      <c r="I195" s="4">
        <f t="shared" si="312"/>
        <v>3.1530776656675461</v>
      </c>
      <c r="J195" s="4">
        <f t="shared" si="312"/>
        <v>5.9119795454048978</v>
      </c>
      <c r="K195" s="4">
        <f t="shared" ref="K195:S195" si="319">IF($A69&gt;K$3,0,K132*$C$6)</f>
        <v>8.654402627315875</v>
      </c>
      <c r="L195" s="4">
        <f t="shared" si="319"/>
        <v>0</v>
      </c>
      <c r="M195" s="4">
        <f t="shared" si="319"/>
        <v>0</v>
      </c>
      <c r="N195" s="4">
        <f t="shared" si="319"/>
        <v>0</v>
      </c>
      <c r="O195" s="4">
        <f t="shared" si="319"/>
        <v>0</v>
      </c>
      <c r="P195" s="4">
        <f t="shared" si="319"/>
        <v>0</v>
      </c>
      <c r="Q195" s="4">
        <f t="shared" si="319"/>
        <v>0.14251846643239902</v>
      </c>
      <c r="R195" s="4">
        <f t="shared" si="319"/>
        <v>2.3162922600422293</v>
      </c>
      <c r="S195" s="4">
        <f t="shared" si="319"/>
        <v>5.0244882428692721</v>
      </c>
      <c r="T195" s="4">
        <f t="shared" ref="T195:U195" si="320">IF($A69&gt;T$3,0,T132*$C$6)</f>
        <v>7.7052789917010998</v>
      </c>
      <c r="U195" s="4">
        <f t="shared" si="320"/>
        <v>-0.5586440853042608</v>
      </c>
    </row>
    <row r="196" spans="1:21" x14ac:dyDescent="0.3">
      <c r="A196">
        <f t="shared" si="293"/>
        <v>15</v>
      </c>
      <c r="B196" s="1">
        <f>VLOOKUP(A196,dates!A:B,2,0)</f>
        <v>45383</v>
      </c>
      <c r="C196" s="4">
        <f t="shared" si="312"/>
        <v>0</v>
      </c>
      <c r="D196" s="4">
        <f t="shared" si="312"/>
        <v>0</v>
      </c>
      <c r="E196" s="4">
        <f t="shared" si="312"/>
        <v>0</v>
      </c>
      <c r="F196" s="4">
        <f t="shared" si="312"/>
        <v>0</v>
      </c>
      <c r="G196" s="4">
        <f t="shared" si="312"/>
        <v>0</v>
      </c>
      <c r="H196" s="4">
        <f t="shared" si="312"/>
        <v>-0.1633237348918691</v>
      </c>
      <c r="I196" s="4">
        <f t="shared" si="312"/>
        <v>2.2225239623540674</v>
      </c>
      <c r="J196" s="4">
        <f t="shared" si="312"/>
        <v>5.1981324506785311</v>
      </c>
      <c r="K196" s="4">
        <f t="shared" ref="K196:S196" si="321">IF($A70&gt;K$3,0,K133*$C$6)</f>
        <v>8.1559677622729101</v>
      </c>
      <c r="L196" s="4">
        <f t="shared" si="321"/>
        <v>0</v>
      </c>
      <c r="M196" s="4">
        <f t="shared" si="321"/>
        <v>0</v>
      </c>
      <c r="N196" s="4">
        <f t="shared" si="321"/>
        <v>0</v>
      </c>
      <c r="O196" s="4">
        <f t="shared" si="321"/>
        <v>0</v>
      </c>
      <c r="P196" s="4">
        <f t="shared" si="321"/>
        <v>0</v>
      </c>
      <c r="Q196" s="4">
        <f t="shared" si="321"/>
        <v>-1.02450905960329</v>
      </c>
      <c r="R196" s="4">
        <f t="shared" si="321"/>
        <v>1.320010620298653</v>
      </c>
      <c r="S196" s="4">
        <f t="shared" si="321"/>
        <v>4.2409303578695807</v>
      </c>
      <c r="T196" s="4">
        <f t="shared" ref="T196:U196" si="322">IF($A70&gt;T$3,0,T133*$C$6)</f>
        <v>7.1322922313136248</v>
      </c>
      <c r="U196" s="4">
        <f t="shared" si="322"/>
        <v>-1.7807466249789285</v>
      </c>
    </row>
    <row r="197" spans="1:21" x14ac:dyDescent="0.3">
      <c r="A197">
        <f t="shared" si="293"/>
        <v>16</v>
      </c>
      <c r="B197" s="1">
        <f>VLOOKUP(A197,dates!A:B,2,0)</f>
        <v>45413</v>
      </c>
      <c r="C197" s="4">
        <f t="shared" si="312"/>
        <v>0</v>
      </c>
      <c r="D197" s="4">
        <f t="shared" si="312"/>
        <v>0</v>
      </c>
      <c r="E197" s="4">
        <f t="shared" si="312"/>
        <v>0</v>
      </c>
      <c r="F197" s="4">
        <f t="shared" si="312"/>
        <v>0</v>
      </c>
      <c r="G197" s="4">
        <f t="shared" si="312"/>
        <v>0</v>
      </c>
      <c r="H197" s="4">
        <f t="shared" si="312"/>
        <v>0</v>
      </c>
      <c r="I197" s="4">
        <f t="shared" si="312"/>
        <v>1.289178597930648</v>
      </c>
      <c r="J197" s="4">
        <f t="shared" si="312"/>
        <v>4.4821438146679862</v>
      </c>
      <c r="K197" s="4">
        <f t="shared" ref="K197:S197" si="323">IF($A71&gt;K$3,0,K134*$C$6)</f>
        <v>7.6560375926348145</v>
      </c>
      <c r="L197" s="4">
        <f t="shared" si="323"/>
        <v>0</v>
      </c>
      <c r="M197" s="4">
        <f t="shared" si="323"/>
        <v>0</v>
      </c>
      <c r="N197" s="4">
        <f t="shared" si="323"/>
        <v>0</v>
      </c>
      <c r="O197" s="4">
        <f t="shared" si="323"/>
        <v>0</v>
      </c>
      <c r="P197" s="4">
        <f t="shared" si="323"/>
        <v>0</v>
      </c>
      <c r="Q197" s="4">
        <f t="shared" si="323"/>
        <v>0</v>
      </c>
      <c r="R197" s="4">
        <f t="shared" si="323"/>
        <v>0.32074013563584547</v>
      </c>
      <c r="S197" s="4">
        <f t="shared" si="323"/>
        <v>3.4550217992148897</v>
      </c>
      <c r="T197" s="4">
        <f t="shared" ref="T197:U197" si="324">IF($A71&gt;T$3,0,T134*$C$6)</f>
        <v>6.5575865106449873</v>
      </c>
      <c r="U197" s="4">
        <f t="shared" si="324"/>
        <v>0</v>
      </c>
    </row>
    <row r="198" spans="1:21" x14ac:dyDescent="0.3">
      <c r="A198">
        <f t="shared" si="293"/>
        <v>17</v>
      </c>
      <c r="B198" s="1">
        <f>VLOOKUP(A198,dates!A:B,2,0)</f>
        <v>45444</v>
      </c>
      <c r="C198" s="4">
        <f t="shared" si="312"/>
        <v>0</v>
      </c>
      <c r="D198" s="4">
        <f t="shared" si="312"/>
        <v>0</v>
      </c>
      <c r="E198" s="4">
        <f t="shared" si="312"/>
        <v>0</v>
      </c>
      <c r="F198" s="4">
        <f t="shared" si="312"/>
        <v>0</v>
      </c>
      <c r="G198" s="4">
        <f t="shared" si="312"/>
        <v>0</v>
      </c>
      <c r="H198" s="4">
        <f t="shared" si="312"/>
        <v>0</v>
      </c>
      <c r="I198" s="4">
        <f t="shared" si="312"/>
        <v>0.35303319741395872</v>
      </c>
      <c r="J198" s="4">
        <f t="shared" si="312"/>
        <v>3.7640072127494095</v>
      </c>
      <c r="K198" s="4">
        <f t="shared" ref="K198:S198" si="325">IF($A72&gt;K$3,0,K135*$C$6)</f>
        <v>7.1546076324878065</v>
      </c>
      <c r="L198" s="4">
        <f t="shared" si="325"/>
        <v>0</v>
      </c>
      <c r="M198" s="4">
        <f t="shared" si="325"/>
        <v>0</v>
      </c>
      <c r="N198" s="4">
        <f t="shared" si="325"/>
        <v>0</v>
      </c>
      <c r="O198" s="4">
        <f t="shared" si="325"/>
        <v>0</v>
      </c>
      <c r="P198" s="4">
        <f t="shared" si="325"/>
        <v>0</v>
      </c>
      <c r="Q198" s="4">
        <f t="shared" si="325"/>
        <v>0</v>
      </c>
      <c r="R198" s="4">
        <f t="shared" si="325"/>
        <v>-0.68152816048095011</v>
      </c>
      <c r="S198" s="4">
        <f t="shared" si="325"/>
        <v>2.6667555148842355</v>
      </c>
      <c r="T198" s="4">
        <f t="shared" ref="T198:U198" si="326">IF($A72&gt;T$3,0,T135*$C$6)</f>
        <v>5.9811566728143433</v>
      </c>
      <c r="U198" s="4">
        <f t="shared" si="326"/>
        <v>0</v>
      </c>
    </row>
    <row r="199" spans="1:21" x14ac:dyDescent="0.3">
      <c r="A199">
        <f t="shared" si="293"/>
        <v>18</v>
      </c>
      <c r="B199" s="1">
        <f>VLOOKUP(A199,dates!A:B,2,0)</f>
        <v>45474</v>
      </c>
      <c r="C199" s="4">
        <f t="shared" si="312"/>
        <v>0</v>
      </c>
      <c r="D199" s="4">
        <f t="shared" si="312"/>
        <v>0</v>
      </c>
      <c r="E199" s="4">
        <f t="shared" si="312"/>
        <v>0</v>
      </c>
      <c r="F199" s="4">
        <f t="shared" si="312"/>
        <v>0</v>
      </c>
      <c r="G199" s="4">
        <f t="shared" si="312"/>
        <v>0</v>
      </c>
      <c r="H199" s="4">
        <f t="shared" si="312"/>
        <v>0</v>
      </c>
      <c r="I199" s="4">
        <f t="shared" si="312"/>
        <v>-0.58592063930428062</v>
      </c>
      <c r="J199" s="4">
        <f t="shared" si="312"/>
        <v>3.0437162010250769</v>
      </c>
      <c r="K199" s="4">
        <f t="shared" ref="K199:S199" si="327">IF($A73&gt;K$3,0,K136*$C$6)</f>
        <v>6.6516733824603564</v>
      </c>
      <c r="L199" s="4">
        <f t="shared" si="327"/>
        <v>0</v>
      </c>
      <c r="M199" s="4">
        <f t="shared" si="327"/>
        <v>0</v>
      </c>
      <c r="N199" s="4">
        <f t="shared" si="327"/>
        <v>0</v>
      </c>
      <c r="O199" s="4">
        <f t="shared" si="327"/>
        <v>0</v>
      </c>
      <c r="P199" s="4">
        <f t="shared" si="327"/>
        <v>0</v>
      </c>
      <c r="Q199" s="4">
        <f t="shared" si="327"/>
        <v>0</v>
      </c>
      <c r="R199" s="4">
        <f t="shared" si="327"/>
        <v>-1.6868032614860964</v>
      </c>
      <c r="S199" s="4">
        <f t="shared" si="327"/>
        <v>1.8761244317005892</v>
      </c>
      <c r="T199" s="4">
        <f t="shared" ref="T199:U199" si="328">IF($A73&gt;T$3,0,T136*$C$6)</f>
        <v>5.4029975454702077</v>
      </c>
      <c r="U199" s="4">
        <f t="shared" si="328"/>
        <v>0</v>
      </c>
    </row>
    <row r="200" spans="1:21" x14ac:dyDescent="0.3">
      <c r="A200">
        <f t="shared" si="293"/>
        <v>19</v>
      </c>
      <c r="B200" s="1">
        <f>VLOOKUP(A200,dates!A:B,2,0)</f>
        <v>45505</v>
      </c>
      <c r="C200" s="4">
        <f t="shared" si="312"/>
        <v>0</v>
      </c>
      <c r="D200" s="4">
        <f t="shared" si="312"/>
        <v>0</v>
      </c>
      <c r="E200" s="4">
        <f t="shared" si="312"/>
        <v>0</v>
      </c>
      <c r="F200" s="4">
        <f t="shared" si="312"/>
        <v>0</v>
      </c>
      <c r="G200" s="4">
        <f t="shared" si="312"/>
        <v>0</v>
      </c>
      <c r="H200" s="4">
        <f t="shared" si="312"/>
        <v>0</v>
      </c>
      <c r="I200" s="4">
        <f t="shared" si="312"/>
        <v>0</v>
      </c>
      <c r="J200" s="4">
        <f t="shared" si="312"/>
        <v>2.3212643162655717</v>
      </c>
      <c r="K200" s="4">
        <f t="shared" ref="K200:S200" si="329">IF($A74&gt;K$3,0,K137*$C$6)</f>
        <v>6.1472303296828246</v>
      </c>
      <c r="L200" s="4">
        <f t="shared" si="329"/>
        <v>0</v>
      </c>
      <c r="M200" s="4">
        <f t="shared" si="329"/>
        <v>0</v>
      </c>
      <c r="N200" s="4">
        <f t="shared" si="329"/>
        <v>0</v>
      </c>
      <c r="O200" s="4">
        <f t="shared" si="329"/>
        <v>0</v>
      </c>
      <c r="P200" s="4">
        <f t="shared" si="329"/>
        <v>0</v>
      </c>
      <c r="Q200" s="4">
        <f t="shared" si="329"/>
        <v>0</v>
      </c>
      <c r="R200" s="4">
        <f t="shared" si="329"/>
        <v>0</v>
      </c>
      <c r="S200" s="4">
        <f t="shared" si="329"/>
        <v>1.083121455267392</v>
      </c>
      <c r="T200" s="4">
        <f t="shared" ref="T200:U200" si="330">IF($A74&gt;T$3,0,T137*$C$6)</f>
        <v>4.8231039407440397</v>
      </c>
      <c r="U200" s="4">
        <f t="shared" si="330"/>
        <v>0</v>
      </c>
    </row>
    <row r="201" spans="1:21" x14ac:dyDescent="0.3">
      <c r="A201">
        <f t="shared" si="293"/>
        <v>20</v>
      </c>
      <c r="B201" s="1">
        <f>VLOOKUP(A201,dates!A:B,2,0)</f>
        <v>45536</v>
      </c>
      <c r="C201" s="4">
        <f t="shared" si="312"/>
        <v>0</v>
      </c>
      <c r="D201" s="4">
        <f t="shared" si="312"/>
        <v>0</v>
      </c>
      <c r="E201" s="4">
        <f t="shared" si="312"/>
        <v>0</v>
      </c>
      <c r="F201" s="4">
        <f t="shared" si="312"/>
        <v>0</v>
      </c>
      <c r="G201" s="4">
        <f t="shared" si="312"/>
        <v>0</v>
      </c>
      <c r="H201" s="4">
        <f t="shared" si="312"/>
        <v>0</v>
      </c>
      <c r="I201" s="4">
        <f t="shared" si="312"/>
        <v>0</v>
      </c>
      <c r="J201" s="4">
        <f t="shared" si="312"/>
        <v>1.5966450758517876</v>
      </c>
      <c r="K201" s="4">
        <f t="shared" ref="K201:S201" si="331">IF($A75&gt;K$3,0,K138*$C$6)</f>
        <v>5.64127394774696</v>
      </c>
      <c r="L201" s="4">
        <f t="shared" si="331"/>
        <v>0</v>
      </c>
      <c r="M201" s="4">
        <f t="shared" si="331"/>
        <v>0</v>
      </c>
      <c r="N201" s="4">
        <f t="shared" si="331"/>
        <v>0</v>
      </c>
      <c r="O201" s="4">
        <f t="shared" si="331"/>
        <v>0</v>
      </c>
      <c r="P201" s="4">
        <f t="shared" si="331"/>
        <v>0</v>
      </c>
      <c r="Q201" s="4">
        <f t="shared" si="331"/>
        <v>0</v>
      </c>
      <c r="R201" s="4">
        <f t="shared" si="331"/>
        <v>0</v>
      </c>
      <c r="S201" s="4">
        <f t="shared" si="331"/>
        <v>0.2877394699048948</v>
      </c>
      <c r="T201" s="4">
        <f t="shared" ref="T201:U201" si="332">IF($A75&gt;T$3,0,T138*$C$6)</f>
        <v>4.2414706552036936</v>
      </c>
      <c r="U201" s="4">
        <f t="shared" si="332"/>
        <v>0</v>
      </c>
    </row>
    <row r="202" spans="1:21" x14ac:dyDescent="0.3">
      <c r="A202">
        <f t="shared" si="293"/>
        <v>21</v>
      </c>
      <c r="B202" s="1">
        <f>VLOOKUP(A202,dates!A:B,2,0)</f>
        <v>45566</v>
      </c>
      <c r="C202" s="4">
        <f t="shared" ref="C202:J211" si="333">IF($A76&gt;C$3,0,C139*$C$6)</f>
        <v>0</v>
      </c>
      <c r="D202" s="4">
        <f t="shared" si="333"/>
        <v>0</v>
      </c>
      <c r="E202" s="4">
        <f t="shared" si="333"/>
        <v>0</v>
      </c>
      <c r="F202" s="4">
        <f t="shared" si="333"/>
        <v>0</v>
      </c>
      <c r="G202" s="4">
        <f t="shared" si="333"/>
        <v>0</v>
      </c>
      <c r="H202" s="4">
        <f t="shared" si="333"/>
        <v>0</v>
      </c>
      <c r="I202" s="4">
        <f t="shared" si="333"/>
        <v>0</v>
      </c>
      <c r="J202" s="4">
        <f t="shared" si="333"/>
        <v>0.86985197771676226</v>
      </c>
      <c r="K202" s="4">
        <f t="shared" ref="K202:S202" si="334">IF($A76&gt;K$3,0,K139*$C$6)</f>
        <v>5.1337996966652879</v>
      </c>
      <c r="L202" s="4">
        <f t="shared" si="334"/>
        <v>0</v>
      </c>
      <c r="M202" s="4">
        <f t="shared" si="334"/>
        <v>0</v>
      </c>
      <c r="N202" s="4">
        <f t="shared" si="334"/>
        <v>0</v>
      </c>
      <c r="O202" s="4">
        <f t="shared" si="334"/>
        <v>0</v>
      </c>
      <c r="P202" s="4">
        <f t="shared" si="334"/>
        <v>0</v>
      </c>
      <c r="Q202" s="4">
        <f t="shared" si="334"/>
        <v>0</v>
      </c>
      <c r="R202" s="4">
        <f t="shared" si="334"/>
        <v>0</v>
      </c>
      <c r="S202" s="4">
        <f t="shared" si="334"/>
        <v>-0.51002866141368974</v>
      </c>
      <c r="T202" s="4">
        <f t="shared" ref="T202:U202" si="335">IF($A76&gt;T$3,0,T139*$C$6)</f>
        <v>3.6580924698067268</v>
      </c>
      <c r="U202" s="4">
        <f t="shared" si="335"/>
        <v>0</v>
      </c>
    </row>
    <row r="203" spans="1:21" x14ac:dyDescent="0.3">
      <c r="A203">
        <f t="shared" si="293"/>
        <v>22</v>
      </c>
      <c r="B203" s="1">
        <f>VLOOKUP(A203,dates!A:B,2,0)</f>
        <v>45597</v>
      </c>
      <c r="C203" s="4">
        <f t="shared" si="333"/>
        <v>0</v>
      </c>
      <c r="D203" s="4">
        <f t="shared" si="333"/>
        <v>0</v>
      </c>
      <c r="E203" s="4">
        <f t="shared" si="333"/>
        <v>0</v>
      </c>
      <c r="F203" s="4">
        <f t="shared" si="333"/>
        <v>0</v>
      </c>
      <c r="G203" s="4">
        <f t="shared" si="333"/>
        <v>0</v>
      </c>
      <c r="H203" s="4">
        <f t="shared" si="333"/>
        <v>0</v>
      </c>
      <c r="I203" s="4">
        <f t="shared" si="333"/>
        <v>0</v>
      </c>
      <c r="J203" s="4">
        <f t="shared" si="333"/>
        <v>0.14087850028733187</v>
      </c>
      <c r="K203" s="4">
        <f t="shared" ref="K203:S203" si="336">IF($A77&gt;K$3,0,K140*$C$6)</f>
        <v>4.6248030228303696</v>
      </c>
      <c r="L203" s="4">
        <f t="shared" si="336"/>
        <v>0</v>
      </c>
      <c r="M203" s="4">
        <f t="shared" si="336"/>
        <v>0</v>
      </c>
      <c r="N203" s="4">
        <f t="shared" si="336"/>
        <v>0</v>
      </c>
      <c r="O203" s="4">
        <f t="shared" si="336"/>
        <v>0</v>
      </c>
      <c r="P203" s="4">
        <f t="shared" si="336"/>
        <v>0</v>
      </c>
      <c r="Q203" s="4">
        <f t="shared" si="336"/>
        <v>0</v>
      </c>
      <c r="R203" s="4">
        <f t="shared" si="336"/>
        <v>0</v>
      </c>
      <c r="S203" s="4">
        <f t="shared" si="336"/>
        <v>-1.3101900971262299</v>
      </c>
      <c r="T203" s="4">
        <f t="shared" ref="T203:U203" si="337">IF($A77&gt;T$3,0,T140*$C$6)</f>
        <v>3.0729641498535685</v>
      </c>
      <c r="U203" s="4">
        <f t="shared" si="337"/>
        <v>0</v>
      </c>
    </row>
    <row r="204" spans="1:21" x14ac:dyDescent="0.3">
      <c r="A204">
        <f t="shared" si="293"/>
        <v>23</v>
      </c>
      <c r="B204" s="1">
        <f>VLOOKUP(A204,dates!A:B,2,0)</f>
        <v>45627</v>
      </c>
      <c r="C204" s="4">
        <f t="shared" si="333"/>
        <v>0</v>
      </c>
      <c r="D204" s="4">
        <f t="shared" si="333"/>
        <v>0</v>
      </c>
      <c r="E204" s="4">
        <f t="shared" si="333"/>
        <v>0</v>
      </c>
      <c r="F204" s="4">
        <f t="shared" si="333"/>
        <v>0</v>
      </c>
      <c r="G204" s="4">
        <f t="shared" si="333"/>
        <v>0</v>
      </c>
      <c r="H204" s="4">
        <f t="shared" si="333"/>
        <v>0</v>
      </c>
      <c r="I204" s="4">
        <f t="shared" si="333"/>
        <v>0</v>
      </c>
      <c r="J204" s="4">
        <f t="shared" si="333"/>
        <v>-0.59028189757438676</v>
      </c>
      <c r="K204" s="4">
        <f t="shared" ref="K204:S204" si="338">IF($A78&gt;K$3,0,K141*$C$6)</f>
        <v>4.1142793589739481</v>
      </c>
      <c r="L204" s="4">
        <f t="shared" si="338"/>
        <v>0</v>
      </c>
      <c r="M204" s="4">
        <f t="shared" si="338"/>
        <v>0</v>
      </c>
      <c r="N204" s="4">
        <f t="shared" si="338"/>
        <v>0</v>
      </c>
      <c r="O204" s="4">
        <f t="shared" si="338"/>
        <v>0</v>
      </c>
      <c r="P204" s="4">
        <f t="shared" si="338"/>
        <v>0</v>
      </c>
      <c r="Q204" s="4">
        <f t="shared" si="338"/>
        <v>0</v>
      </c>
      <c r="R204" s="4">
        <f t="shared" si="338"/>
        <v>0</v>
      </c>
      <c r="S204" s="4">
        <f t="shared" si="338"/>
        <v>-2.1127520171459078</v>
      </c>
      <c r="T204" s="4">
        <f t="shared" ref="T204:U204" si="339">IF($A78&gt;T$3,0,T141*$C$6)</f>
        <v>2.4860804449405509</v>
      </c>
      <c r="U204" s="4">
        <f t="shared" si="339"/>
        <v>0</v>
      </c>
    </row>
    <row r="205" spans="1:21" x14ac:dyDescent="0.3">
      <c r="A205">
        <f t="shared" si="293"/>
        <v>24</v>
      </c>
      <c r="B205" s="1">
        <f>VLOOKUP(A205,dates!A:B,2,0)</f>
        <v>45658</v>
      </c>
      <c r="C205" s="4">
        <f t="shared" si="333"/>
        <v>0</v>
      </c>
      <c r="D205" s="4">
        <f t="shared" si="333"/>
        <v>0</v>
      </c>
      <c r="E205" s="4">
        <f t="shared" si="333"/>
        <v>0</v>
      </c>
      <c r="F205" s="4">
        <f t="shared" si="333"/>
        <v>0</v>
      </c>
      <c r="G205" s="4">
        <f t="shared" si="333"/>
        <v>0</v>
      </c>
      <c r="H205" s="4">
        <f t="shared" si="333"/>
        <v>0</v>
      </c>
      <c r="I205" s="4">
        <f t="shared" si="333"/>
        <v>0</v>
      </c>
      <c r="J205" s="4">
        <f t="shared" si="333"/>
        <v>-1.3236357766296907</v>
      </c>
      <c r="K205" s="4">
        <f t="shared" ref="K205:S205" si="340">IF($A79&gt;K$3,0,K142*$C$6)</f>
        <v>3.6022241241259558</v>
      </c>
      <c r="L205" s="4">
        <f t="shared" si="340"/>
        <v>0</v>
      </c>
      <c r="M205" s="4">
        <f t="shared" si="340"/>
        <v>0</v>
      </c>
      <c r="N205" s="4">
        <f t="shared" si="340"/>
        <v>0</v>
      </c>
      <c r="O205" s="4">
        <f t="shared" si="340"/>
        <v>0</v>
      </c>
      <c r="P205" s="4">
        <f t="shared" si="340"/>
        <v>0</v>
      </c>
      <c r="Q205" s="4">
        <f t="shared" si="340"/>
        <v>0</v>
      </c>
      <c r="R205" s="4">
        <f t="shared" si="340"/>
        <v>0</v>
      </c>
      <c r="S205" s="4">
        <f t="shared" si="340"/>
        <v>-2.9177216229256446</v>
      </c>
      <c r="T205" s="4">
        <f t="shared" ref="T205:U205" si="341">IF($A79&gt;T$3,0,T142*$C$6)</f>
        <v>1.8974360889127946</v>
      </c>
      <c r="U205" s="4">
        <f t="shared" si="341"/>
        <v>0</v>
      </c>
    </row>
    <row r="206" spans="1:21" x14ac:dyDescent="0.3">
      <c r="A206">
        <f t="shared" si="293"/>
        <v>25</v>
      </c>
      <c r="B206" s="1">
        <f>VLOOKUP(A206,dates!A:B,2,0)</f>
        <v>45689</v>
      </c>
      <c r="C206" s="4">
        <f t="shared" si="333"/>
        <v>0</v>
      </c>
      <c r="D206" s="4">
        <f t="shared" si="333"/>
        <v>0</v>
      </c>
      <c r="E206" s="4">
        <f t="shared" si="333"/>
        <v>0</v>
      </c>
      <c r="F206" s="4">
        <f t="shared" si="333"/>
        <v>0</v>
      </c>
      <c r="G206" s="4">
        <f t="shared" si="333"/>
        <v>0</v>
      </c>
      <c r="H206" s="4">
        <f t="shared" si="333"/>
        <v>0</v>
      </c>
      <c r="I206" s="4">
        <f t="shared" si="333"/>
        <v>0</v>
      </c>
      <c r="J206" s="4">
        <f t="shared" si="333"/>
        <v>0</v>
      </c>
      <c r="K206" s="4">
        <f t="shared" ref="K206:S206" si="342">IF($A80&gt;K$3,0,K143*$C$6)</f>
        <v>3.0886327235734212</v>
      </c>
      <c r="L206" s="4">
        <f t="shared" si="342"/>
        <v>0</v>
      </c>
      <c r="M206" s="4">
        <f t="shared" si="342"/>
        <v>0</v>
      </c>
      <c r="N206" s="4">
        <f t="shared" si="342"/>
        <v>0</v>
      </c>
      <c r="O206" s="4">
        <f t="shared" si="342"/>
        <v>0</v>
      </c>
      <c r="P206" s="4">
        <f t="shared" si="342"/>
        <v>0</v>
      </c>
      <c r="Q206" s="4">
        <f t="shared" si="342"/>
        <v>0</v>
      </c>
      <c r="R206" s="4">
        <f t="shared" si="342"/>
        <v>0</v>
      </c>
      <c r="S206" s="4">
        <f t="shared" si="342"/>
        <v>0</v>
      </c>
      <c r="T206" s="4">
        <f t="shared" ref="T206:U206" si="343">IF($A80&gt;T$3,0,T143*$C$6)</f>
        <v>1.3070257998169548</v>
      </c>
      <c r="U206" s="4">
        <f t="shared" si="343"/>
        <v>0</v>
      </c>
    </row>
    <row r="207" spans="1:21" x14ac:dyDescent="0.3">
      <c r="A207">
        <f t="shared" si="293"/>
        <v>26</v>
      </c>
      <c r="B207" s="1">
        <f>VLOOKUP(A207,dates!A:B,2,0)</f>
        <v>45717</v>
      </c>
      <c r="C207" s="4">
        <f t="shared" si="333"/>
        <v>0</v>
      </c>
      <c r="D207" s="4">
        <f t="shared" si="333"/>
        <v>0</v>
      </c>
      <c r="E207" s="4">
        <f t="shared" si="333"/>
        <v>0</v>
      </c>
      <c r="F207" s="4">
        <f t="shared" si="333"/>
        <v>0</v>
      </c>
      <c r="G207" s="4">
        <f t="shared" si="333"/>
        <v>0</v>
      </c>
      <c r="H207" s="4">
        <f t="shared" si="333"/>
        <v>0</v>
      </c>
      <c r="I207" s="4">
        <f t="shared" si="333"/>
        <v>0</v>
      </c>
      <c r="J207" s="4">
        <f t="shared" si="333"/>
        <v>0</v>
      </c>
      <c r="K207" s="4">
        <f t="shared" ref="K207:S207" si="344">IF($A81&gt;K$3,0,K144*$C$6)</f>
        <v>2.5735005488192284</v>
      </c>
      <c r="L207" s="4">
        <f t="shared" si="344"/>
        <v>0</v>
      </c>
      <c r="M207" s="4">
        <f t="shared" si="344"/>
        <v>0</v>
      </c>
      <c r="N207" s="4">
        <f t="shared" si="344"/>
        <v>0</v>
      </c>
      <c r="O207" s="4">
        <f t="shared" si="344"/>
        <v>0</v>
      </c>
      <c r="P207" s="4">
        <f t="shared" si="344"/>
        <v>0</v>
      </c>
      <c r="Q207" s="4">
        <f t="shared" si="344"/>
        <v>0</v>
      </c>
      <c r="R207" s="4">
        <f t="shared" si="344"/>
        <v>0</v>
      </c>
      <c r="S207" s="4">
        <f t="shared" si="344"/>
        <v>0</v>
      </c>
      <c r="T207" s="4">
        <f t="shared" ref="T207:U207" si="345">IF($A81&gt;T$3,0,T144*$C$6)</f>
        <v>0.71484427985382715</v>
      </c>
      <c r="U207" s="4">
        <f t="shared" si="345"/>
        <v>0</v>
      </c>
    </row>
    <row r="208" spans="1:21" x14ac:dyDescent="0.3">
      <c r="A208">
        <f t="shared" si="293"/>
        <v>27</v>
      </c>
      <c r="B208" s="1">
        <f>VLOOKUP(A208,dates!A:B,2,0)</f>
        <v>45748</v>
      </c>
      <c r="C208" s="4">
        <f t="shared" si="333"/>
        <v>0</v>
      </c>
      <c r="D208" s="4">
        <f t="shared" si="333"/>
        <v>0</v>
      </c>
      <c r="E208" s="4">
        <f t="shared" si="333"/>
        <v>0</v>
      </c>
      <c r="F208" s="4">
        <f t="shared" si="333"/>
        <v>0</v>
      </c>
      <c r="G208" s="4">
        <f t="shared" si="333"/>
        <v>0</v>
      </c>
      <c r="H208" s="4">
        <f t="shared" si="333"/>
        <v>0</v>
      </c>
      <c r="I208" s="4">
        <f t="shared" si="333"/>
        <v>0</v>
      </c>
      <c r="J208" s="4">
        <f t="shared" si="333"/>
        <v>0</v>
      </c>
      <c r="K208" s="4">
        <f t="shared" ref="K208:S208" si="346">IF($A82&gt;K$3,0,K145*$C$6)</f>
        <v>2.0568229775407727</v>
      </c>
      <c r="L208" s="4">
        <f t="shared" si="346"/>
        <v>0</v>
      </c>
      <c r="M208" s="4">
        <f t="shared" si="346"/>
        <v>0</v>
      </c>
      <c r="N208" s="4">
        <f t="shared" si="346"/>
        <v>0</v>
      </c>
      <c r="O208" s="4">
        <f t="shared" si="346"/>
        <v>0</v>
      </c>
      <c r="P208" s="4">
        <f t="shared" si="346"/>
        <v>0</v>
      </c>
      <c r="Q208" s="4">
        <f t="shared" si="346"/>
        <v>0</v>
      </c>
      <c r="R208" s="4">
        <f t="shared" si="346"/>
        <v>0</v>
      </c>
      <c r="S208" s="4">
        <f t="shared" si="346"/>
        <v>0</v>
      </c>
      <c r="T208" s="4">
        <f t="shared" ref="T208:U208" si="347">IF($A82&gt;T$3,0,T145*$C$6)</f>
        <v>0.12088621533081033</v>
      </c>
      <c r="U208" s="4">
        <f t="shared" si="347"/>
        <v>0</v>
      </c>
    </row>
    <row r="209" spans="1:21" x14ac:dyDescent="0.3">
      <c r="A209">
        <f t="shared" si="293"/>
        <v>28</v>
      </c>
      <c r="B209" s="1">
        <f>VLOOKUP(A209,dates!A:B,2,0)</f>
        <v>45778</v>
      </c>
      <c r="C209" s="4">
        <f t="shared" si="333"/>
        <v>0</v>
      </c>
      <c r="D209" s="4">
        <f t="shared" si="333"/>
        <v>0</v>
      </c>
      <c r="E209" s="4">
        <f t="shared" si="333"/>
        <v>0</v>
      </c>
      <c r="F209" s="4">
        <f t="shared" si="333"/>
        <v>0</v>
      </c>
      <c r="G209" s="4">
        <f t="shared" si="333"/>
        <v>0</v>
      </c>
      <c r="H209" s="4">
        <f t="shared" si="333"/>
        <v>0</v>
      </c>
      <c r="I209" s="4">
        <f t="shared" si="333"/>
        <v>0</v>
      </c>
      <c r="J209" s="4">
        <f t="shared" si="333"/>
        <v>0</v>
      </c>
      <c r="K209" s="4">
        <f t="shared" ref="K209:S209" si="348">IF($A83&gt;K$3,0,K146*$C$6)</f>
        <v>1.5385953735484816</v>
      </c>
      <c r="L209" s="4">
        <f t="shared" si="348"/>
        <v>0</v>
      </c>
      <c r="M209" s="4">
        <f t="shared" si="348"/>
        <v>0</v>
      </c>
      <c r="N209" s="4">
        <f t="shared" si="348"/>
        <v>0</v>
      </c>
      <c r="O209" s="4">
        <f t="shared" si="348"/>
        <v>0</v>
      </c>
      <c r="P209" s="4">
        <f t="shared" si="348"/>
        <v>0</v>
      </c>
      <c r="Q209" s="4">
        <f t="shared" si="348"/>
        <v>0</v>
      </c>
      <c r="R209" s="4">
        <f t="shared" si="348"/>
        <v>0</v>
      </c>
      <c r="S209" s="4">
        <f t="shared" si="348"/>
        <v>0</v>
      </c>
      <c r="T209" s="4">
        <f t="shared" ref="T209:U209" si="349">IF($A83&gt;T$3,0,T146*$C$6)</f>
        <v>-0.47485372338577553</v>
      </c>
      <c r="U209" s="4">
        <f t="shared" si="349"/>
        <v>0</v>
      </c>
    </row>
    <row r="210" spans="1:21" x14ac:dyDescent="0.3">
      <c r="A210">
        <f t="shared" si="293"/>
        <v>29</v>
      </c>
      <c r="B210" s="1">
        <f>VLOOKUP(A210,dates!A:B,2,0)</f>
        <v>45809</v>
      </c>
      <c r="C210" s="4">
        <f t="shared" si="333"/>
        <v>0</v>
      </c>
      <c r="D210" s="4">
        <f t="shared" si="333"/>
        <v>0</v>
      </c>
      <c r="E210" s="4">
        <f t="shared" si="333"/>
        <v>0</v>
      </c>
      <c r="F210" s="4">
        <f t="shared" si="333"/>
        <v>0</v>
      </c>
      <c r="G210" s="4">
        <f t="shared" si="333"/>
        <v>0</v>
      </c>
      <c r="H210" s="4">
        <f t="shared" si="333"/>
        <v>0</v>
      </c>
      <c r="I210" s="4">
        <f t="shared" si="333"/>
        <v>0</v>
      </c>
      <c r="J210" s="4">
        <f t="shared" si="333"/>
        <v>0</v>
      </c>
      <c r="K210" s="4">
        <f t="shared" ref="K210:S210" si="350">IF($A84&gt;K$3,0,K147*$C$6)</f>
        <v>1.018813086744214</v>
      </c>
      <c r="L210" s="4">
        <f t="shared" si="350"/>
        <v>0</v>
      </c>
      <c r="M210" s="4">
        <f t="shared" si="350"/>
        <v>0</v>
      </c>
      <c r="N210" s="4">
        <f t="shared" si="350"/>
        <v>0</v>
      </c>
      <c r="O210" s="4">
        <f t="shared" si="350"/>
        <v>0</v>
      </c>
      <c r="P210" s="4">
        <f t="shared" si="350"/>
        <v>0</v>
      </c>
      <c r="Q210" s="4">
        <f t="shared" si="350"/>
        <v>0</v>
      </c>
      <c r="R210" s="4">
        <f t="shared" si="350"/>
        <v>0</v>
      </c>
      <c r="S210" s="4">
        <f t="shared" si="350"/>
        <v>0</v>
      </c>
      <c r="T210" s="4">
        <f t="shared" ref="T210:U210" si="351">IF($A84&gt;T$3,0,T147*$C$6)</f>
        <v>-1.0723808819185112</v>
      </c>
      <c r="U210" s="4">
        <f t="shared" si="351"/>
        <v>0</v>
      </c>
    </row>
    <row r="211" spans="1:21" x14ac:dyDescent="0.3">
      <c r="A211">
        <f t="shared" si="293"/>
        <v>30</v>
      </c>
      <c r="B211" s="1">
        <f>VLOOKUP(A211,dates!A:B,2,0)</f>
        <v>45839</v>
      </c>
      <c r="C211" s="4">
        <f t="shared" si="333"/>
        <v>0</v>
      </c>
      <c r="D211" s="4">
        <f t="shared" si="333"/>
        <v>0</v>
      </c>
      <c r="E211" s="4">
        <f t="shared" si="333"/>
        <v>0</v>
      </c>
      <c r="F211" s="4">
        <f t="shared" si="333"/>
        <v>0</v>
      </c>
      <c r="G211" s="4">
        <f t="shared" si="333"/>
        <v>0</v>
      </c>
      <c r="H211" s="4">
        <f t="shared" si="333"/>
        <v>0</v>
      </c>
      <c r="I211" s="4">
        <f t="shared" si="333"/>
        <v>0</v>
      </c>
      <c r="J211" s="4">
        <f t="shared" si="333"/>
        <v>0</v>
      </c>
      <c r="K211" s="4">
        <f t="shared" ref="K211:S211" si="352">IF($A85&gt;K$3,0,K148*$C$6)</f>
        <v>0.49747145307953339</v>
      </c>
      <c r="L211" s="4">
        <f t="shared" si="352"/>
        <v>0</v>
      </c>
      <c r="M211" s="4">
        <f t="shared" si="352"/>
        <v>0</v>
      </c>
      <c r="N211" s="4">
        <f t="shared" si="352"/>
        <v>0</v>
      </c>
      <c r="O211" s="4">
        <f t="shared" si="352"/>
        <v>0</v>
      </c>
      <c r="P211" s="4">
        <f t="shared" si="352"/>
        <v>0</v>
      </c>
      <c r="Q211" s="4">
        <f t="shared" si="352"/>
        <v>0</v>
      </c>
      <c r="R211" s="4">
        <f t="shared" si="352"/>
        <v>0</v>
      </c>
      <c r="S211" s="4">
        <f t="shared" si="352"/>
        <v>0</v>
      </c>
      <c r="T211" s="4">
        <f t="shared" ref="T211:U211" si="353">IF($A85&gt;T$3,0,T148*$C$6)</f>
        <v>-1.6717006219268451</v>
      </c>
      <c r="U211" s="4">
        <f t="shared" si="353"/>
        <v>0</v>
      </c>
    </row>
    <row r="212" spans="1:21" x14ac:dyDescent="0.3">
      <c r="A212">
        <f t="shared" si="293"/>
        <v>31</v>
      </c>
      <c r="B212" s="1">
        <f>VLOOKUP(A212,dates!A:B,2,0)</f>
        <v>45870</v>
      </c>
      <c r="C212" s="4">
        <f t="shared" ref="C212:J221" si="354">IF($A86&gt;C$3,0,C149*$C$6)</f>
        <v>0</v>
      </c>
      <c r="D212" s="4">
        <f t="shared" si="354"/>
        <v>0</v>
      </c>
      <c r="E212" s="4">
        <f t="shared" si="354"/>
        <v>0</v>
      </c>
      <c r="F212" s="4">
        <f t="shared" si="354"/>
        <v>0</v>
      </c>
      <c r="G212" s="4">
        <f t="shared" si="354"/>
        <v>0</v>
      </c>
      <c r="H212" s="4">
        <f t="shared" si="354"/>
        <v>0</v>
      </c>
      <c r="I212" s="4">
        <f t="shared" si="354"/>
        <v>0</v>
      </c>
      <c r="J212" s="4">
        <f t="shared" si="354"/>
        <v>0</v>
      </c>
      <c r="K212" s="4">
        <f t="shared" ref="K212:S212" si="355">IF($A86&gt;K$3,0,K149*$C$6)</f>
        <v>-2.5434205486141195E-2</v>
      </c>
      <c r="L212" s="4">
        <f t="shared" si="355"/>
        <v>0</v>
      </c>
      <c r="M212" s="4">
        <f t="shared" si="355"/>
        <v>0</v>
      </c>
      <c r="N212" s="4">
        <f t="shared" si="355"/>
        <v>0</v>
      </c>
      <c r="O212" s="4">
        <f t="shared" si="355"/>
        <v>0</v>
      </c>
      <c r="P212" s="4">
        <f t="shared" si="355"/>
        <v>0</v>
      </c>
      <c r="Q212" s="4">
        <f t="shared" si="355"/>
        <v>0</v>
      </c>
      <c r="R212" s="4">
        <f t="shared" si="355"/>
        <v>0</v>
      </c>
      <c r="S212" s="4">
        <f t="shared" si="355"/>
        <v>0</v>
      </c>
      <c r="T212" s="4">
        <f t="shared" ref="T212:U212" si="356">IF($A86&gt;T$3,0,T149*$C$6)</f>
        <v>-2.2728183211552038</v>
      </c>
      <c r="U212" s="4">
        <f t="shared" si="356"/>
        <v>0</v>
      </c>
    </row>
    <row r="213" spans="1:21" x14ac:dyDescent="0.3">
      <c r="A213">
        <f t="shared" si="293"/>
        <v>32</v>
      </c>
      <c r="B213" s="1">
        <f>VLOOKUP(A213,dates!A:B,2,0)</f>
        <v>45901</v>
      </c>
      <c r="C213" s="4">
        <f t="shared" si="354"/>
        <v>0</v>
      </c>
      <c r="D213" s="4">
        <f t="shared" si="354"/>
        <v>0</v>
      </c>
      <c r="E213" s="4">
        <f t="shared" si="354"/>
        <v>0</v>
      </c>
      <c r="F213" s="4">
        <f t="shared" si="354"/>
        <v>0</v>
      </c>
      <c r="G213" s="4">
        <f t="shared" si="354"/>
        <v>0</v>
      </c>
      <c r="H213" s="4">
        <f t="shared" si="354"/>
        <v>0</v>
      </c>
      <c r="I213" s="4">
        <f t="shared" si="354"/>
        <v>0</v>
      </c>
      <c r="J213" s="4">
        <f t="shared" si="354"/>
        <v>0</v>
      </c>
      <c r="K213" s="4">
        <f t="shared" ref="K213:S213" si="357">IF($A87&gt;K$3,0,K150*$C$6)</f>
        <v>-0.54990858102751283</v>
      </c>
      <c r="L213" s="4">
        <f t="shared" si="357"/>
        <v>0</v>
      </c>
      <c r="M213" s="4">
        <f t="shared" si="357"/>
        <v>0</v>
      </c>
      <c r="N213" s="4">
        <f t="shared" si="357"/>
        <v>0</v>
      </c>
      <c r="O213" s="4">
        <f t="shared" si="357"/>
        <v>0</v>
      </c>
      <c r="P213" s="4">
        <f t="shared" si="357"/>
        <v>0</v>
      </c>
      <c r="Q213" s="4">
        <f t="shared" si="357"/>
        <v>0</v>
      </c>
      <c r="R213" s="4">
        <f t="shared" si="357"/>
        <v>0</v>
      </c>
      <c r="S213" s="4">
        <f t="shared" si="357"/>
        <v>0</v>
      </c>
      <c r="T213" s="4">
        <f t="shared" ref="T213:U213" si="358">IF($A87&gt;T$3,0,T150*$C$6)</f>
        <v>-2.875739373481248</v>
      </c>
      <c r="U213" s="4">
        <f t="shared" si="358"/>
        <v>0</v>
      </c>
    </row>
    <row r="214" spans="1:21" x14ac:dyDescent="0.3">
      <c r="A214">
        <f t="shared" si="293"/>
        <v>33</v>
      </c>
      <c r="B214" s="1">
        <f>VLOOKUP(A214,dates!A:B,2,0)</f>
        <v>45931</v>
      </c>
      <c r="C214" s="4">
        <f t="shared" si="354"/>
        <v>0</v>
      </c>
      <c r="D214" s="4">
        <f t="shared" si="354"/>
        <v>0</v>
      </c>
      <c r="E214" s="4">
        <f t="shared" si="354"/>
        <v>0</v>
      </c>
      <c r="F214" s="4">
        <f t="shared" si="354"/>
        <v>0</v>
      </c>
      <c r="G214" s="4">
        <f t="shared" si="354"/>
        <v>0</v>
      </c>
      <c r="H214" s="4">
        <f t="shared" si="354"/>
        <v>0</v>
      </c>
      <c r="I214" s="4">
        <f t="shared" si="354"/>
        <v>0</v>
      </c>
      <c r="J214" s="4">
        <f t="shared" si="354"/>
        <v>0</v>
      </c>
      <c r="K214" s="4">
        <f t="shared" ref="K214:S214" si="359">IF($A88&gt;K$3,0,K151*$C$6)</f>
        <v>-1.0759563796955085</v>
      </c>
      <c r="L214" s="4">
        <f t="shared" si="359"/>
        <v>0</v>
      </c>
      <c r="M214" s="4">
        <f t="shared" si="359"/>
        <v>0</v>
      </c>
      <c r="N214" s="4">
        <f t="shared" si="359"/>
        <v>0</v>
      </c>
      <c r="O214" s="4">
        <f t="shared" si="359"/>
        <v>0</v>
      </c>
      <c r="P214" s="4">
        <f t="shared" si="359"/>
        <v>0</v>
      </c>
      <c r="Q214" s="4">
        <f t="shared" si="359"/>
        <v>0</v>
      </c>
      <c r="R214" s="4">
        <f t="shared" si="359"/>
        <v>0</v>
      </c>
      <c r="S214" s="4">
        <f t="shared" si="359"/>
        <v>0</v>
      </c>
      <c r="T214" s="4">
        <f t="shared" ref="T214:U214" si="360">IF($A88&gt;T$3,0,T151*$C$6)</f>
        <v>-3.4804691889642698</v>
      </c>
      <c r="U214" s="4">
        <f t="shared" si="360"/>
        <v>0</v>
      </c>
    </row>
    <row r="215" spans="1:21" x14ac:dyDescent="0.3">
      <c r="A215">
        <f t="shared" si="293"/>
        <v>34</v>
      </c>
      <c r="B215" s="1">
        <f>VLOOKUP(A215,dates!A:B,2,0)</f>
        <v>45962</v>
      </c>
      <c r="C215" s="4">
        <f t="shared" si="354"/>
        <v>0</v>
      </c>
      <c r="D215" s="4">
        <f t="shared" si="354"/>
        <v>0</v>
      </c>
      <c r="E215" s="4">
        <f t="shared" si="354"/>
        <v>0</v>
      </c>
      <c r="F215" s="4">
        <f t="shared" si="354"/>
        <v>0</v>
      </c>
      <c r="G215" s="4">
        <f t="shared" si="354"/>
        <v>0</v>
      </c>
      <c r="H215" s="4">
        <f t="shared" si="354"/>
        <v>0</v>
      </c>
      <c r="I215" s="4">
        <f t="shared" si="354"/>
        <v>0</v>
      </c>
      <c r="J215" s="4">
        <f t="shared" si="354"/>
        <v>0</v>
      </c>
      <c r="K215" s="4">
        <f t="shared" ref="K215:S215" si="361">IF($A89&gt;K$3,0,K152*$C$6)</f>
        <v>-1.6035823217595082</v>
      </c>
      <c r="L215" s="4">
        <f t="shared" si="361"/>
        <v>0</v>
      </c>
      <c r="M215" s="4">
        <f t="shared" si="361"/>
        <v>0</v>
      </c>
      <c r="N215" s="4">
        <f t="shared" si="361"/>
        <v>0</v>
      </c>
      <c r="O215" s="4">
        <f t="shared" si="361"/>
        <v>0</v>
      </c>
      <c r="P215" s="4">
        <f t="shared" si="361"/>
        <v>0</v>
      </c>
      <c r="Q215" s="4">
        <f t="shared" si="361"/>
        <v>0</v>
      </c>
      <c r="R215" s="4">
        <f t="shared" si="361"/>
        <v>0</v>
      </c>
      <c r="S215" s="4">
        <f t="shared" si="361"/>
        <v>0</v>
      </c>
      <c r="T215" s="4">
        <f t="shared" ref="T215:U215" si="362">IF($A89&gt;T$3,0,T152*$C$6)</f>
        <v>-4.0870131938937408</v>
      </c>
      <c r="U215" s="4">
        <f t="shared" si="362"/>
        <v>0</v>
      </c>
    </row>
    <row r="216" spans="1:21" x14ac:dyDescent="0.3">
      <c r="A216">
        <f t="shared" si="293"/>
        <v>35</v>
      </c>
      <c r="B216" s="1">
        <f>VLOOKUP(A216,dates!A:B,2,0)</f>
        <v>45992</v>
      </c>
      <c r="C216" s="4">
        <f t="shared" si="354"/>
        <v>0</v>
      </c>
      <c r="D216" s="4">
        <f t="shared" si="354"/>
        <v>0</v>
      </c>
      <c r="E216" s="4">
        <f t="shared" si="354"/>
        <v>0</v>
      </c>
      <c r="F216" s="4">
        <f t="shared" si="354"/>
        <v>0</v>
      </c>
      <c r="G216" s="4">
        <f t="shared" si="354"/>
        <v>0</v>
      </c>
      <c r="H216" s="4">
        <f t="shared" si="354"/>
        <v>0</v>
      </c>
      <c r="I216" s="4">
        <f t="shared" si="354"/>
        <v>0</v>
      </c>
      <c r="J216" s="4">
        <f t="shared" si="354"/>
        <v>0</v>
      </c>
      <c r="K216" s="4">
        <f t="shared" ref="K216:S216" si="363">IF($A90&gt;K$3,0,K153*$C$6)</f>
        <v>-2.1327911416496996</v>
      </c>
      <c r="L216" s="4">
        <f t="shared" si="363"/>
        <v>0</v>
      </c>
      <c r="M216" s="4">
        <f t="shared" si="363"/>
        <v>0</v>
      </c>
      <c r="N216" s="4">
        <f t="shared" si="363"/>
        <v>0</v>
      </c>
      <c r="O216" s="4">
        <f t="shared" si="363"/>
        <v>0</v>
      </c>
      <c r="P216" s="4">
        <f t="shared" si="363"/>
        <v>0</v>
      </c>
      <c r="Q216" s="4">
        <f t="shared" si="363"/>
        <v>0</v>
      </c>
      <c r="R216" s="4">
        <f t="shared" si="363"/>
        <v>0</v>
      </c>
      <c r="S216" s="4">
        <f t="shared" si="363"/>
        <v>0</v>
      </c>
      <c r="T216" s="4">
        <f t="shared" ref="T216:U216" si="364">IF($A90&gt;T$3,0,T153*$C$6)</f>
        <v>-4.6953768308380006</v>
      </c>
      <c r="U216" s="4">
        <f t="shared" si="364"/>
        <v>0</v>
      </c>
    </row>
    <row r="217" spans="1:21" x14ac:dyDescent="0.3">
      <c r="A217">
        <f t="shared" si="293"/>
        <v>36</v>
      </c>
      <c r="B217" s="1">
        <f>VLOOKUP(A217,dates!A:B,2,0)</f>
        <v>46023</v>
      </c>
      <c r="C217" s="4">
        <f t="shared" si="354"/>
        <v>0</v>
      </c>
      <c r="D217" s="4">
        <f t="shared" si="354"/>
        <v>0</v>
      </c>
      <c r="E217" s="4">
        <f t="shared" si="354"/>
        <v>0</v>
      </c>
      <c r="F217" s="4">
        <f t="shared" si="354"/>
        <v>0</v>
      </c>
      <c r="G217" s="4">
        <f t="shared" si="354"/>
        <v>0</v>
      </c>
      <c r="H217" s="4">
        <f t="shared" si="354"/>
        <v>0</v>
      </c>
      <c r="I217" s="4">
        <f t="shared" si="354"/>
        <v>0</v>
      </c>
      <c r="J217" s="4">
        <f t="shared" si="354"/>
        <v>0</v>
      </c>
      <c r="K217" s="4">
        <f t="shared" ref="K217:S217" si="365">IF($A91&gt;K$3,0,K154*$C$6)</f>
        <v>-2.6635875879995621</v>
      </c>
      <c r="L217" s="4">
        <f t="shared" si="365"/>
        <v>0</v>
      </c>
      <c r="M217" s="4">
        <f t="shared" si="365"/>
        <v>0</v>
      </c>
      <c r="N217" s="4">
        <f t="shared" si="365"/>
        <v>0</v>
      </c>
      <c r="O217" s="4">
        <f t="shared" si="365"/>
        <v>0</v>
      </c>
      <c r="P217" s="4">
        <f t="shared" si="365"/>
        <v>0</v>
      </c>
      <c r="Q217" s="4">
        <f t="shared" si="365"/>
        <v>0</v>
      </c>
      <c r="R217" s="4">
        <f t="shared" si="365"/>
        <v>0</v>
      </c>
      <c r="S217" s="4">
        <f t="shared" si="365"/>
        <v>0</v>
      </c>
      <c r="T217" s="4">
        <f t="shared" ref="T217:U217" si="366">IF($A91&gt;T$3,0,T154*$C$6)</f>
        <v>-5.3055655586930932</v>
      </c>
      <c r="U217" s="4">
        <f t="shared" si="366"/>
        <v>0</v>
      </c>
    </row>
    <row r="218" spans="1:21" x14ac:dyDescent="0.3">
      <c r="A218">
        <f t="shared" si="293"/>
        <v>37</v>
      </c>
      <c r="B218" s="1">
        <f>VLOOKUP(A218,dates!A:B,2,0)</f>
        <v>46054</v>
      </c>
      <c r="C218" s="4">
        <f t="shared" si="354"/>
        <v>0</v>
      </c>
      <c r="D218" s="4">
        <f t="shared" si="354"/>
        <v>0</v>
      </c>
      <c r="E218" s="4">
        <f t="shared" si="354"/>
        <v>0</v>
      </c>
      <c r="F218" s="4">
        <f t="shared" si="354"/>
        <v>0</v>
      </c>
      <c r="G218" s="4">
        <f t="shared" si="354"/>
        <v>0</v>
      </c>
      <c r="H218" s="4">
        <f t="shared" si="354"/>
        <v>0</v>
      </c>
      <c r="I218" s="4">
        <f t="shared" si="354"/>
        <v>0</v>
      </c>
      <c r="J218" s="4">
        <f t="shared" si="354"/>
        <v>0</v>
      </c>
      <c r="K218" s="4">
        <f t="shared" ref="K218:S218" si="367">IF($A92&gt;K$3,0,K155*$C$6)</f>
        <v>0</v>
      </c>
      <c r="L218" s="4">
        <f t="shared" si="367"/>
        <v>0</v>
      </c>
      <c r="M218" s="4">
        <f t="shared" si="367"/>
        <v>0</v>
      </c>
      <c r="N218" s="4">
        <f t="shared" si="367"/>
        <v>0</v>
      </c>
      <c r="O218" s="4">
        <f t="shared" si="367"/>
        <v>0</v>
      </c>
      <c r="P218" s="4">
        <f t="shared" si="367"/>
        <v>0</v>
      </c>
      <c r="Q218" s="4">
        <f t="shared" si="367"/>
        <v>0</v>
      </c>
      <c r="R218" s="4">
        <f t="shared" si="367"/>
        <v>0</v>
      </c>
      <c r="S218" s="4">
        <f t="shared" si="367"/>
        <v>0</v>
      </c>
      <c r="T218" s="4">
        <f t="shared" ref="T218:U218" si="368">IF($A92&gt;T$3,0,T155*$C$6)</f>
        <v>0</v>
      </c>
      <c r="U218" s="4">
        <f t="shared" si="368"/>
        <v>0</v>
      </c>
    </row>
    <row r="219" spans="1:21" x14ac:dyDescent="0.3">
      <c r="A219">
        <f t="shared" si="293"/>
        <v>38</v>
      </c>
      <c r="B219" s="1">
        <f>VLOOKUP(A219,dates!A:B,2,0)</f>
        <v>46082</v>
      </c>
      <c r="C219" s="4">
        <f t="shared" si="354"/>
        <v>0</v>
      </c>
      <c r="D219" s="4">
        <f t="shared" si="354"/>
        <v>0</v>
      </c>
      <c r="E219" s="4">
        <f t="shared" si="354"/>
        <v>0</v>
      </c>
      <c r="F219" s="4">
        <f t="shared" si="354"/>
        <v>0</v>
      </c>
      <c r="G219" s="4">
        <f t="shared" si="354"/>
        <v>0</v>
      </c>
      <c r="H219" s="4">
        <f t="shared" si="354"/>
        <v>0</v>
      </c>
      <c r="I219" s="4">
        <f t="shared" si="354"/>
        <v>0</v>
      </c>
      <c r="J219" s="4">
        <f t="shared" si="354"/>
        <v>0</v>
      </c>
      <c r="K219" s="4">
        <f t="shared" ref="K219:S219" si="369">IF($A93&gt;K$3,0,K156*$C$6)</f>
        <v>0</v>
      </c>
      <c r="L219" s="4">
        <f t="shared" si="369"/>
        <v>0</v>
      </c>
      <c r="M219" s="4">
        <f t="shared" si="369"/>
        <v>0</v>
      </c>
      <c r="N219" s="4">
        <f t="shared" si="369"/>
        <v>0</v>
      </c>
      <c r="O219" s="4">
        <f t="shared" si="369"/>
        <v>0</v>
      </c>
      <c r="P219" s="4">
        <f t="shared" si="369"/>
        <v>0</v>
      </c>
      <c r="Q219" s="4">
        <f t="shared" si="369"/>
        <v>0</v>
      </c>
      <c r="R219" s="4">
        <f t="shared" si="369"/>
        <v>0</v>
      </c>
      <c r="S219" s="4">
        <f t="shared" si="369"/>
        <v>0</v>
      </c>
      <c r="T219" s="4">
        <f t="shared" ref="T219:U219" si="370">IF($A93&gt;T$3,0,T156*$C$6)</f>
        <v>0</v>
      </c>
      <c r="U219" s="4">
        <f t="shared" si="370"/>
        <v>0</v>
      </c>
    </row>
    <row r="220" spans="1:21" x14ac:dyDescent="0.3">
      <c r="A220">
        <f t="shared" si="293"/>
        <v>39</v>
      </c>
      <c r="B220" s="1">
        <f>VLOOKUP(A220,dates!A:B,2,0)</f>
        <v>46113</v>
      </c>
      <c r="C220" s="4">
        <f t="shared" si="354"/>
        <v>0</v>
      </c>
      <c r="D220" s="4">
        <f t="shared" si="354"/>
        <v>0</v>
      </c>
      <c r="E220" s="4">
        <f t="shared" si="354"/>
        <v>0</v>
      </c>
      <c r="F220" s="4">
        <f t="shared" si="354"/>
        <v>0</v>
      </c>
      <c r="G220" s="4">
        <f t="shared" si="354"/>
        <v>0</v>
      </c>
      <c r="H220" s="4">
        <f t="shared" si="354"/>
        <v>0</v>
      </c>
      <c r="I220" s="4">
        <f t="shared" si="354"/>
        <v>0</v>
      </c>
      <c r="J220" s="4">
        <f t="shared" si="354"/>
        <v>0</v>
      </c>
      <c r="K220" s="4">
        <f t="shared" ref="K220:S220" si="371">IF($A94&gt;K$3,0,K157*$C$6)</f>
        <v>0</v>
      </c>
      <c r="L220" s="4">
        <f t="shared" si="371"/>
        <v>0</v>
      </c>
      <c r="M220" s="4">
        <f t="shared" si="371"/>
        <v>0</v>
      </c>
      <c r="N220" s="4">
        <f t="shared" si="371"/>
        <v>0</v>
      </c>
      <c r="O220" s="4">
        <f t="shared" si="371"/>
        <v>0</v>
      </c>
      <c r="P220" s="4">
        <f t="shared" si="371"/>
        <v>0</v>
      </c>
      <c r="Q220" s="4">
        <f t="shared" si="371"/>
        <v>0</v>
      </c>
      <c r="R220" s="4">
        <f t="shared" si="371"/>
        <v>0</v>
      </c>
      <c r="S220" s="4">
        <f t="shared" si="371"/>
        <v>0</v>
      </c>
      <c r="T220" s="4">
        <f t="shared" ref="T220:U220" si="372">IF($A94&gt;T$3,0,T157*$C$6)</f>
        <v>0</v>
      </c>
      <c r="U220" s="4">
        <f t="shared" si="372"/>
        <v>0</v>
      </c>
    </row>
    <row r="221" spans="1:21" x14ac:dyDescent="0.3">
      <c r="A221">
        <f t="shared" si="293"/>
        <v>40</v>
      </c>
      <c r="B221" s="1">
        <f>VLOOKUP(A221,dates!A:B,2,0)</f>
        <v>46143</v>
      </c>
      <c r="C221" s="4">
        <f t="shared" si="354"/>
        <v>0</v>
      </c>
      <c r="D221" s="4">
        <f t="shared" si="354"/>
        <v>0</v>
      </c>
      <c r="E221" s="4">
        <f t="shared" si="354"/>
        <v>0</v>
      </c>
      <c r="F221" s="4">
        <f t="shared" si="354"/>
        <v>0</v>
      </c>
      <c r="G221" s="4">
        <f t="shared" si="354"/>
        <v>0</v>
      </c>
      <c r="H221" s="4">
        <f t="shared" si="354"/>
        <v>0</v>
      </c>
      <c r="I221" s="4">
        <f t="shared" si="354"/>
        <v>0</v>
      </c>
      <c r="J221" s="4">
        <f t="shared" si="354"/>
        <v>0</v>
      </c>
      <c r="K221" s="4">
        <f t="shared" ref="K221:S221" si="373">IF($A95&gt;K$3,0,K158*$C$6)</f>
        <v>0</v>
      </c>
      <c r="L221" s="4">
        <f t="shared" si="373"/>
        <v>0</v>
      </c>
      <c r="M221" s="4">
        <f t="shared" si="373"/>
        <v>0</v>
      </c>
      <c r="N221" s="4">
        <f t="shared" si="373"/>
        <v>0</v>
      </c>
      <c r="O221" s="4">
        <f t="shared" si="373"/>
        <v>0</v>
      </c>
      <c r="P221" s="4">
        <f t="shared" si="373"/>
        <v>0</v>
      </c>
      <c r="Q221" s="4">
        <f t="shared" si="373"/>
        <v>0</v>
      </c>
      <c r="R221" s="4">
        <f t="shared" si="373"/>
        <v>0</v>
      </c>
      <c r="S221" s="4">
        <f t="shared" si="373"/>
        <v>0</v>
      </c>
      <c r="T221" s="4">
        <f t="shared" ref="T221:U221" si="374">IF($A95&gt;T$3,0,T158*$C$6)</f>
        <v>0</v>
      </c>
      <c r="U221" s="4">
        <f t="shared" si="374"/>
        <v>0</v>
      </c>
    </row>
    <row r="222" spans="1:21" x14ac:dyDescent="0.3">
      <c r="A222">
        <f t="shared" si="293"/>
        <v>41</v>
      </c>
      <c r="B222" s="1">
        <f>VLOOKUP(A222,dates!A:B,2,0)</f>
        <v>46174</v>
      </c>
      <c r="C222" s="4">
        <f t="shared" ref="C222:J231" si="375">IF($A96&gt;C$3,0,C159*$C$6)</f>
        <v>0</v>
      </c>
      <c r="D222" s="4">
        <f t="shared" si="375"/>
        <v>0</v>
      </c>
      <c r="E222" s="4">
        <f t="shared" si="375"/>
        <v>0</v>
      </c>
      <c r="F222" s="4">
        <f t="shared" si="375"/>
        <v>0</v>
      </c>
      <c r="G222" s="4">
        <f t="shared" si="375"/>
        <v>0</v>
      </c>
      <c r="H222" s="4">
        <f t="shared" si="375"/>
        <v>0</v>
      </c>
      <c r="I222" s="4">
        <f t="shared" si="375"/>
        <v>0</v>
      </c>
      <c r="J222" s="4">
        <f t="shared" si="375"/>
        <v>0</v>
      </c>
      <c r="K222" s="4">
        <f t="shared" ref="K222:S222" si="376">IF($A96&gt;K$3,0,K159*$C$6)</f>
        <v>0</v>
      </c>
      <c r="L222" s="4">
        <f t="shared" si="376"/>
        <v>0</v>
      </c>
      <c r="M222" s="4">
        <f t="shared" si="376"/>
        <v>0</v>
      </c>
      <c r="N222" s="4">
        <f t="shared" si="376"/>
        <v>0</v>
      </c>
      <c r="O222" s="4">
        <f t="shared" si="376"/>
        <v>0</v>
      </c>
      <c r="P222" s="4">
        <f t="shared" si="376"/>
        <v>0</v>
      </c>
      <c r="Q222" s="4">
        <f t="shared" si="376"/>
        <v>0</v>
      </c>
      <c r="R222" s="4">
        <f t="shared" si="376"/>
        <v>0</v>
      </c>
      <c r="S222" s="4">
        <f t="shared" si="376"/>
        <v>0</v>
      </c>
      <c r="T222" s="4">
        <f t="shared" ref="T222:U222" si="377">IF($A96&gt;T$3,0,T159*$C$6)</f>
        <v>0</v>
      </c>
      <c r="U222" s="4">
        <f t="shared" si="377"/>
        <v>0</v>
      </c>
    </row>
    <row r="223" spans="1:21" x14ac:dyDescent="0.3">
      <c r="A223">
        <f t="shared" si="293"/>
        <v>42</v>
      </c>
      <c r="B223" s="1">
        <f>VLOOKUP(A223,dates!A:B,2,0)</f>
        <v>46204</v>
      </c>
      <c r="C223" s="4">
        <f t="shared" si="375"/>
        <v>0</v>
      </c>
      <c r="D223" s="4">
        <f t="shared" si="375"/>
        <v>0</v>
      </c>
      <c r="E223" s="4">
        <f t="shared" si="375"/>
        <v>0</v>
      </c>
      <c r="F223" s="4">
        <f t="shared" si="375"/>
        <v>0</v>
      </c>
      <c r="G223" s="4">
        <f t="shared" si="375"/>
        <v>0</v>
      </c>
      <c r="H223" s="4">
        <f t="shared" si="375"/>
        <v>0</v>
      </c>
      <c r="I223" s="4">
        <f t="shared" si="375"/>
        <v>0</v>
      </c>
      <c r="J223" s="4">
        <f t="shared" si="375"/>
        <v>0</v>
      </c>
      <c r="K223" s="4">
        <f t="shared" ref="K223:S223" si="378">IF($A97&gt;K$3,0,K160*$C$6)</f>
        <v>0</v>
      </c>
      <c r="L223" s="4">
        <f t="shared" si="378"/>
        <v>0</v>
      </c>
      <c r="M223" s="4">
        <f t="shared" si="378"/>
        <v>0</v>
      </c>
      <c r="N223" s="4">
        <f t="shared" si="378"/>
        <v>0</v>
      </c>
      <c r="O223" s="4">
        <f t="shared" si="378"/>
        <v>0</v>
      </c>
      <c r="P223" s="4">
        <f t="shared" si="378"/>
        <v>0</v>
      </c>
      <c r="Q223" s="4">
        <f t="shared" si="378"/>
        <v>0</v>
      </c>
      <c r="R223" s="4">
        <f t="shared" si="378"/>
        <v>0</v>
      </c>
      <c r="S223" s="4">
        <f t="shared" si="378"/>
        <v>0</v>
      </c>
      <c r="T223" s="4">
        <f t="shared" ref="T223:U223" si="379">IF($A97&gt;T$3,0,T160*$C$6)</f>
        <v>0</v>
      </c>
      <c r="U223" s="4">
        <f t="shared" si="379"/>
        <v>0</v>
      </c>
    </row>
    <row r="224" spans="1:21" x14ac:dyDescent="0.3">
      <c r="A224">
        <f t="shared" si="293"/>
        <v>43</v>
      </c>
      <c r="B224" s="1">
        <f>VLOOKUP(A224,dates!A:B,2,0)</f>
        <v>46235</v>
      </c>
      <c r="C224" s="4">
        <f t="shared" si="375"/>
        <v>0</v>
      </c>
      <c r="D224" s="4">
        <f t="shared" si="375"/>
        <v>0</v>
      </c>
      <c r="E224" s="4">
        <f t="shared" si="375"/>
        <v>0</v>
      </c>
      <c r="F224" s="4">
        <f t="shared" si="375"/>
        <v>0</v>
      </c>
      <c r="G224" s="4">
        <f t="shared" si="375"/>
        <v>0</v>
      </c>
      <c r="H224" s="4">
        <f t="shared" si="375"/>
        <v>0</v>
      </c>
      <c r="I224" s="4">
        <f t="shared" si="375"/>
        <v>0</v>
      </c>
      <c r="J224" s="4">
        <f t="shared" si="375"/>
        <v>0</v>
      </c>
      <c r="K224" s="4">
        <f t="shared" ref="K224:S224" si="380">IF($A98&gt;K$3,0,K161*$C$6)</f>
        <v>0</v>
      </c>
      <c r="L224" s="4">
        <f t="shared" si="380"/>
        <v>0</v>
      </c>
      <c r="M224" s="4">
        <f t="shared" si="380"/>
        <v>0</v>
      </c>
      <c r="N224" s="4">
        <f t="shared" si="380"/>
        <v>0</v>
      </c>
      <c r="O224" s="4">
        <f t="shared" si="380"/>
        <v>0</v>
      </c>
      <c r="P224" s="4">
        <f t="shared" si="380"/>
        <v>0</v>
      </c>
      <c r="Q224" s="4">
        <f t="shared" si="380"/>
        <v>0</v>
      </c>
      <c r="R224" s="4">
        <f t="shared" si="380"/>
        <v>0</v>
      </c>
      <c r="S224" s="4">
        <f t="shared" si="380"/>
        <v>0</v>
      </c>
      <c r="T224" s="4">
        <f t="shared" ref="T224:U224" si="381">IF($A98&gt;T$3,0,T161*$C$6)</f>
        <v>0</v>
      </c>
      <c r="U224" s="4">
        <f t="shared" si="381"/>
        <v>0</v>
      </c>
    </row>
    <row r="225" spans="1:21" x14ac:dyDescent="0.3">
      <c r="A225">
        <f t="shared" si="293"/>
        <v>44</v>
      </c>
      <c r="B225" s="1">
        <f>VLOOKUP(A225,dates!A:B,2,0)</f>
        <v>46266</v>
      </c>
      <c r="C225" s="4">
        <f t="shared" si="375"/>
        <v>0</v>
      </c>
      <c r="D225" s="4">
        <f t="shared" si="375"/>
        <v>0</v>
      </c>
      <c r="E225" s="4">
        <f t="shared" si="375"/>
        <v>0</v>
      </c>
      <c r="F225" s="4">
        <f t="shared" si="375"/>
        <v>0</v>
      </c>
      <c r="G225" s="4">
        <f t="shared" si="375"/>
        <v>0</v>
      </c>
      <c r="H225" s="4">
        <f t="shared" si="375"/>
        <v>0</v>
      </c>
      <c r="I225" s="4">
        <f t="shared" si="375"/>
        <v>0</v>
      </c>
      <c r="J225" s="4">
        <f t="shared" si="375"/>
        <v>0</v>
      </c>
      <c r="K225" s="4">
        <f t="shared" ref="K225:S225" si="382">IF($A99&gt;K$3,0,K162*$C$6)</f>
        <v>0</v>
      </c>
      <c r="L225" s="4">
        <f t="shared" si="382"/>
        <v>0</v>
      </c>
      <c r="M225" s="4">
        <f t="shared" si="382"/>
        <v>0</v>
      </c>
      <c r="N225" s="4">
        <f t="shared" si="382"/>
        <v>0</v>
      </c>
      <c r="O225" s="4">
        <f t="shared" si="382"/>
        <v>0</v>
      </c>
      <c r="P225" s="4">
        <f t="shared" si="382"/>
        <v>0</v>
      </c>
      <c r="Q225" s="4">
        <f t="shared" si="382"/>
        <v>0</v>
      </c>
      <c r="R225" s="4">
        <f t="shared" si="382"/>
        <v>0</v>
      </c>
      <c r="S225" s="4">
        <f t="shared" si="382"/>
        <v>0</v>
      </c>
      <c r="T225" s="4">
        <f t="shared" ref="T225:U225" si="383">IF($A99&gt;T$3,0,T162*$C$6)</f>
        <v>0</v>
      </c>
      <c r="U225" s="4">
        <f t="shared" si="383"/>
        <v>0</v>
      </c>
    </row>
    <row r="226" spans="1:21" x14ac:dyDescent="0.3">
      <c r="A226">
        <f t="shared" si="293"/>
        <v>45</v>
      </c>
      <c r="B226" s="1">
        <f>VLOOKUP(A226,dates!A:B,2,0)</f>
        <v>46296</v>
      </c>
      <c r="C226" s="4">
        <f t="shared" si="375"/>
        <v>0</v>
      </c>
      <c r="D226" s="4">
        <f t="shared" si="375"/>
        <v>0</v>
      </c>
      <c r="E226" s="4">
        <f t="shared" si="375"/>
        <v>0</v>
      </c>
      <c r="F226" s="4">
        <f t="shared" si="375"/>
        <v>0</v>
      </c>
      <c r="G226" s="4">
        <f t="shared" si="375"/>
        <v>0</v>
      </c>
      <c r="H226" s="4">
        <f t="shared" si="375"/>
        <v>0</v>
      </c>
      <c r="I226" s="4">
        <f t="shared" si="375"/>
        <v>0</v>
      </c>
      <c r="J226" s="4">
        <f t="shared" si="375"/>
        <v>0</v>
      </c>
      <c r="K226" s="4">
        <f t="shared" ref="K226:S226" si="384">IF($A100&gt;K$3,0,K163*$C$6)</f>
        <v>0</v>
      </c>
      <c r="L226" s="4">
        <f t="shared" si="384"/>
        <v>0</v>
      </c>
      <c r="M226" s="4">
        <f t="shared" si="384"/>
        <v>0</v>
      </c>
      <c r="N226" s="4">
        <f t="shared" si="384"/>
        <v>0</v>
      </c>
      <c r="O226" s="4">
        <f t="shared" si="384"/>
        <v>0</v>
      </c>
      <c r="P226" s="4">
        <f t="shared" si="384"/>
        <v>0</v>
      </c>
      <c r="Q226" s="4">
        <f t="shared" si="384"/>
        <v>0</v>
      </c>
      <c r="R226" s="4">
        <f t="shared" si="384"/>
        <v>0</v>
      </c>
      <c r="S226" s="4">
        <f t="shared" si="384"/>
        <v>0</v>
      </c>
      <c r="T226" s="4">
        <f t="shared" ref="T226:U226" si="385">IF($A100&gt;T$3,0,T163*$C$6)</f>
        <v>0</v>
      </c>
      <c r="U226" s="4">
        <f t="shared" si="385"/>
        <v>0</v>
      </c>
    </row>
    <row r="227" spans="1:21" x14ac:dyDescent="0.3">
      <c r="A227">
        <f t="shared" si="293"/>
        <v>46</v>
      </c>
      <c r="B227" s="1">
        <f>VLOOKUP(A227,dates!A:B,2,0)</f>
        <v>46327</v>
      </c>
      <c r="C227" s="4">
        <f t="shared" si="375"/>
        <v>0</v>
      </c>
      <c r="D227" s="4">
        <f t="shared" si="375"/>
        <v>0</v>
      </c>
      <c r="E227" s="4">
        <f t="shared" si="375"/>
        <v>0</v>
      </c>
      <c r="F227" s="4">
        <f t="shared" si="375"/>
        <v>0</v>
      </c>
      <c r="G227" s="4">
        <f t="shared" si="375"/>
        <v>0</v>
      </c>
      <c r="H227" s="4">
        <f t="shared" si="375"/>
        <v>0</v>
      </c>
      <c r="I227" s="4">
        <f t="shared" si="375"/>
        <v>0</v>
      </c>
      <c r="J227" s="4">
        <f t="shared" si="375"/>
        <v>0</v>
      </c>
      <c r="K227" s="4">
        <f t="shared" ref="K227:S227" si="386">IF($A101&gt;K$3,0,K164*$C$6)</f>
        <v>0</v>
      </c>
      <c r="L227" s="4">
        <f t="shared" si="386"/>
        <v>0</v>
      </c>
      <c r="M227" s="4">
        <f t="shared" si="386"/>
        <v>0</v>
      </c>
      <c r="N227" s="4">
        <f t="shared" si="386"/>
        <v>0</v>
      </c>
      <c r="O227" s="4">
        <f t="shared" si="386"/>
        <v>0</v>
      </c>
      <c r="P227" s="4">
        <f t="shared" si="386"/>
        <v>0</v>
      </c>
      <c r="Q227" s="4">
        <f t="shared" si="386"/>
        <v>0</v>
      </c>
      <c r="R227" s="4">
        <f t="shared" si="386"/>
        <v>0</v>
      </c>
      <c r="S227" s="4">
        <f t="shared" si="386"/>
        <v>0</v>
      </c>
      <c r="T227" s="4">
        <f t="shared" ref="T227:U227" si="387">IF($A101&gt;T$3,0,T164*$C$6)</f>
        <v>0</v>
      </c>
      <c r="U227" s="4">
        <f t="shared" si="387"/>
        <v>0</v>
      </c>
    </row>
    <row r="228" spans="1:21" x14ac:dyDescent="0.3">
      <c r="A228">
        <f t="shared" si="293"/>
        <v>47</v>
      </c>
      <c r="B228" s="1">
        <f>VLOOKUP(A228,dates!A:B,2,0)</f>
        <v>46357</v>
      </c>
      <c r="C228" s="4">
        <f t="shared" si="375"/>
        <v>0</v>
      </c>
      <c r="D228" s="4">
        <f t="shared" si="375"/>
        <v>0</v>
      </c>
      <c r="E228" s="4">
        <f t="shared" si="375"/>
        <v>0</v>
      </c>
      <c r="F228" s="4">
        <f t="shared" si="375"/>
        <v>0</v>
      </c>
      <c r="G228" s="4">
        <f t="shared" si="375"/>
        <v>0</v>
      </c>
      <c r="H228" s="4">
        <f t="shared" si="375"/>
        <v>0</v>
      </c>
      <c r="I228" s="4">
        <f t="shared" si="375"/>
        <v>0</v>
      </c>
      <c r="J228" s="4">
        <f t="shared" si="375"/>
        <v>0</v>
      </c>
      <c r="K228" s="4">
        <f t="shared" ref="K228:S228" si="388">IF($A102&gt;K$3,0,K165*$C$6)</f>
        <v>0</v>
      </c>
      <c r="L228" s="4">
        <f t="shared" si="388"/>
        <v>0</v>
      </c>
      <c r="M228" s="4">
        <f t="shared" si="388"/>
        <v>0</v>
      </c>
      <c r="N228" s="4">
        <f t="shared" si="388"/>
        <v>0</v>
      </c>
      <c r="O228" s="4">
        <f t="shared" si="388"/>
        <v>0</v>
      </c>
      <c r="P228" s="4">
        <f t="shared" si="388"/>
        <v>0</v>
      </c>
      <c r="Q228" s="4">
        <f t="shared" si="388"/>
        <v>0</v>
      </c>
      <c r="R228" s="4">
        <f t="shared" si="388"/>
        <v>0</v>
      </c>
      <c r="S228" s="4">
        <f t="shared" si="388"/>
        <v>0</v>
      </c>
      <c r="T228" s="4">
        <f t="shared" ref="T228:U228" si="389">IF($A102&gt;T$3,0,T165*$C$6)</f>
        <v>0</v>
      </c>
      <c r="U228" s="4">
        <f t="shared" si="389"/>
        <v>0</v>
      </c>
    </row>
    <row r="229" spans="1:21" x14ac:dyDescent="0.3">
      <c r="A229">
        <f t="shared" si="293"/>
        <v>48</v>
      </c>
      <c r="B229" s="1">
        <f>VLOOKUP(A229,dates!A:B,2,0)</f>
        <v>46388</v>
      </c>
      <c r="C229" s="4">
        <f t="shared" si="375"/>
        <v>0</v>
      </c>
      <c r="D229" s="4">
        <f t="shared" si="375"/>
        <v>0</v>
      </c>
      <c r="E229" s="4">
        <f t="shared" si="375"/>
        <v>0</v>
      </c>
      <c r="F229" s="4">
        <f t="shared" si="375"/>
        <v>0</v>
      </c>
      <c r="G229" s="4">
        <f t="shared" si="375"/>
        <v>0</v>
      </c>
      <c r="H229" s="4">
        <f t="shared" si="375"/>
        <v>0</v>
      </c>
      <c r="I229" s="4">
        <f t="shared" si="375"/>
        <v>0</v>
      </c>
      <c r="J229" s="4">
        <f t="shared" si="375"/>
        <v>0</v>
      </c>
      <c r="K229" s="4">
        <f t="shared" ref="K229:S229" si="390">IF($A103&gt;K$3,0,K166*$C$6)</f>
        <v>0</v>
      </c>
      <c r="L229" s="4">
        <f t="shared" si="390"/>
        <v>0</v>
      </c>
      <c r="M229" s="4">
        <f t="shared" si="390"/>
        <v>0</v>
      </c>
      <c r="N229" s="4">
        <f t="shared" si="390"/>
        <v>0</v>
      </c>
      <c r="O229" s="4">
        <f t="shared" si="390"/>
        <v>0</v>
      </c>
      <c r="P229" s="4">
        <f t="shared" si="390"/>
        <v>0</v>
      </c>
      <c r="Q229" s="4">
        <f t="shared" si="390"/>
        <v>0</v>
      </c>
      <c r="R229" s="4">
        <f t="shared" si="390"/>
        <v>0</v>
      </c>
      <c r="S229" s="4">
        <f t="shared" si="390"/>
        <v>0</v>
      </c>
      <c r="T229" s="4">
        <f t="shared" ref="T229:U229" si="391">IF($A103&gt;T$3,0,T166*$C$6)</f>
        <v>0</v>
      </c>
      <c r="U229" s="4">
        <f t="shared" si="391"/>
        <v>0</v>
      </c>
    </row>
    <row r="230" spans="1:21" x14ac:dyDescent="0.3">
      <c r="A230">
        <f t="shared" si="293"/>
        <v>49</v>
      </c>
      <c r="B230" s="1">
        <f>VLOOKUP(A230,dates!A:B,2,0)</f>
        <v>46419</v>
      </c>
      <c r="C230" s="4">
        <f t="shared" si="375"/>
        <v>0</v>
      </c>
      <c r="D230" s="4">
        <f t="shared" si="375"/>
        <v>0</v>
      </c>
      <c r="E230" s="4">
        <f t="shared" si="375"/>
        <v>0</v>
      </c>
      <c r="F230" s="4">
        <f t="shared" si="375"/>
        <v>0</v>
      </c>
      <c r="G230" s="4">
        <f t="shared" si="375"/>
        <v>0</v>
      </c>
      <c r="H230" s="4">
        <f t="shared" si="375"/>
        <v>0</v>
      </c>
      <c r="I230" s="4">
        <f t="shared" si="375"/>
        <v>0</v>
      </c>
      <c r="J230" s="4">
        <f t="shared" si="375"/>
        <v>0</v>
      </c>
      <c r="K230" s="4">
        <f t="shared" ref="K230:S230" si="392">IF($A104&gt;K$3,0,K167*$C$6)</f>
        <v>0</v>
      </c>
      <c r="L230" s="4">
        <f t="shared" si="392"/>
        <v>0</v>
      </c>
      <c r="M230" s="4">
        <f t="shared" si="392"/>
        <v>0</v>
      </c>
      <c r="N230" s="4">
        <f t="shared" si="392"/>
        <v>0</v>
      </c>
      <c r="O230" s="4">
        <f t="shared" si="392"/>
        <v>0</v>
      </c>
      <c r="P230" s="4">
        <f t="shared" si="392"/>
        <v>0</v>
      </c>
      <c r="Q230" s="4">
        <f t="shared" si="392"/>
        <v>0</v>
      </c>
      <c r="R230" s="4">
        <f t="shared" si="392"/>
        <v>0</v>
      </c>
      <c r="S230" s="4">
        <f t="shared" si="392"/>
        <v>0</v>
      </c>
      <c r="T230" s="4">
        <f t="shared" ref="T230:U230" si="393">IF($A104&gt;T$3,0,T167*$C$6)</f>
        <v>0</v>
      </c>
      <c r="U230" s="4">
        <f t="shared" si="393"/>
        <v>0</v>
      </c>
    </row>
    <row r="231" spans="1:21" x14ac:dyDescent="0.3">
      <c r="A231">
        <f t="shared" si="293"/>
        <v>50</v>
      </c>
      <c r="B231" s="1">
        <f>VLOOKUP(A231,dates!A:B,2,0)</f>
        <v>46447</v>
      </c>
      <c r="C231" s="4">
        <f t="shared" si="375"/>
        <v>0</v>
      </c>
      <c r="D231" s="4">
        <f t="shared" si="375"/>
        <v>0</v>
      </c>
      <c r="E231" s="4">
        <f t="shared" si="375"/>
        <v>0</v>
      </c>
      <c r="F231" s="4">
        <f t="shared" si="375"/>
        <v>0</v>
      </c>
      <c r="G231" s="4">
        <f t="shared" si="375"/>
        <v>0</v>
      </c>
      <c r="H231" s="4">
        <f t="shared" si="375"/>
        <v>0</v>
      </c>
      <c r="I231" s="4">
        <f t="shared" si="375"/>
        <v>0</v>
      </c>
      <c r="J231" s="4">
        <f t="shared" si="375"/>
        <v>0</v>
      </c>
      <c r="K231" s="4">
        <f t="shared" ref="K231:S231" si="394">IF($A105&gt;K$3,0,K168*$C$6)</f>
        <v>0</v>
      </c>
      <c r="L231" s="4">
        <f t="shared" si="394"/>
        <v>0</v>
      </c>
      <c r="M231" s="4">
        <f t="shared" si="394"/>
        <v>0</v>
      </c>
      <c r="N231" s="4">
        <f t="shared" si="394"/>
        <v>0</v>
      </c>
      <c r="O231" s="4">
        <f t="shared" si="394"/>
        <v>0</v>
      </c>
      <c r="P231" s="4">
        <f t="shared" si="394"/>
        <v>0</v>
      </c>
      <c r="Q231" s="4">
        <f t="shared" si="394"/>
        <v>0</v>
      </c>
      <c r="R231" s="4">
        <f t="shared" si="394"/>
        <v>0</v>
      </c>
      <c r="S231" s="4">
        <f t="shared" si="394"/>
        <v>0</v>
      </c>
      <c r="T231" s="4">
        <f t="shared" ref="T231:U231" si="395">IF($A105&gt;T$3,0,T168*$C$6)</f>
        <v>0</v>
      </c>
      <c r="U231" s="4">
        <f t="shared" si="395"/>
        <v>0</v>
      </c>
    </row>
    <row r="232" spans="1:21" x14ac:dyDescent="0.3">
      <c r="A232">
        <f t="shared" si="293"/>
        <v>51</v>
      </c>
      <c r="B232" s="1">
        <f>VLOOKUP(A232,dates!A:B,2,0)</f>
        <v>46478</v>
      </c>
      <c r="C232" s="4">
        <f t="shared" ref="C232:J241" si="396">IF($A106&gt;C$3,0,C169*$C$6)</f>
        <v>0</v>
      </c>
      <c r="D232" s="4">
        <f t="shared" si="396"/>
        <v>0</v>
      </c>
      <c r="E232" s="4">
        <f t="shared" si="396"/>
        <v>0</v>
      </c>
      <c r="F232" s="4">
        <f t="shared" si="396"/>
        <v>0</v>
      </c>
      <c r="G232" s="4">
        <f t="shared" si="396"/>
        <v>0</v>
      </c>
      <c r="H232" s="4">
        <f t="shared" si="396"/>
        <v>0</v>
      </c>
      <c r="I232" s="4">
        <f t="shared" si="396"/>
        <v>0</v>
      </c>
      <c r="J232" s="4">
        <f t="shared" si="396"/>
        <v>0</v>
      </c>
      <c r="K232" s="4">
        <f t="shared" ref="K232:S232" si="397">IF($A106&gt;K$3,0,K169*$C$6)</f>
        <v>0</v>
      </c>
      <c r="L232" s="4">
        <f t="shared" si="397"/>
        <v>0</v>
      </c>
      <c r="M232" s="4">
        <f t="shared" si="397"/>
        <v>0</v>
      </c>
      <c r="N232" s="4">
        <f t="shared" si="397"/>
        <v>0</v>
      </c>
      <c r="O232" s="4">
        <f t="shared" si="397"/>
        <v>0</v>
      </c>
      <c r="P232" s="4">
        <f t="shared" si="397"/>
        <v>0</v>
      </c>
      <c r="Q232" s="4">
        <f t="shared" si="397"/>
        <v>0</v>
      </c>
      <c r="R232" s="4">
        <f t="shared" si="397"/>
        <v>0</v>
      </c>
      <c r="S232" s="4">
        <f t="shared" si="397"/>
        <v>0</v>
      </c>
      <c r="T232" s="4">
        <f t="shared" ref="T232:U232" si="398">IF($A106&gt;T$3,0,T169*$C$6)</f>
        <v>0</v>
      </c>
      <c r="U232" s="4">
        <f t="shared" si="398"/>
        <v>0</v>
      </c>
    </row>
    <row r="233" spans="1:21" x14ac:dyDescent="0.3">
      <c r="A233">
        <f t="shared" si="293"/>
        <v>52</v>
      </c>
      <c r="B233" s="1">
        <f>VLOOKUP(A233,dates!A:B,2,0)</f>
        <v>46508</v>
      </c>
      <c r="C233" s="4">
        <f t="shared" si="396"/>
        <v>0</v>
      </c>
      <c r="D233" s="4">
        <f t="shared" si="396"/>
        <v>0</v>
      </c>
      <c r="E233" s="4">
        <f t="shared" si="396"/>
        <v>0</v>
      </c>
      <c r="F233" s="4">
        <f t="shared" si="396"/>
        <v>0</v>
      </c>
      <c r="G233" s="4">
        <f t="shared" si="396"/>
        <v>0</v>
      </c>
      <c r="H233" s="4">
        <f t="shared" si="396"/>
        <v>0</v>
      </c>
      <c r="I233" s="4">
        <f t="shared" si="396"/>
        <v>0</v>
      </c>
      <c r="J233" s="4">
        <f t="shared" si="396"/>
        <v>0</v>
      </c>
      <c r="K233" s="4">
        <f t="shared" ref="K233:S233" si="399">IF($A107&gt;K$3,0,K170*$C$6)</f>
        <v>0</v>
      </c>
      <c r="L233" s="4">
        <f t="shared" si="399"/>
        <v>0</v>
      </c>
      <c r="M233" s="4">
        <f t="shared" si="399"/>
        <v>0</v>
      </c>
      <c r="N233" s="4">
        <f t="shared" si="399"/>
        <v>0</v>
      </c>
      <c r="O233" s="4">
        <f t="shared" si="399"/>
        <v>0</v>
      </c>
      <c r="P233" s="4">
        <f t="shared" si="399"/>
        <v>0</v>
      </c>
      <c r="Q233" s="4">
        <f t="shared" si="399"/>
        <v>0</v>
      </c>
      <c r="R233" s="4">
        <f t="shared" si="399"/>
        <v>0</v>
      </c>
      <c r="S233" s="4">
        <f t="shared" si="399"/>
        <v>0</v>
      </c>
      <c r="T233" s="4">
        <f t="shared" ref="T233:U233" si="400">IF($A107&gt;T$3,0,T170*$C$6)</f>
        <v>0</v>
      </c>
      <c r="U233" s="4">
        <f t="shared" si="400"/>
        <v>0</v>
      </c>
    </row>
    <row r="234" spans="1:21" x14ac:dyDescent="0.3">
      <c r="A234">
        <f t="shared" si="293"/>
        <v>53</v>
      </c>
      <c r="B234" s="1">
        <f>VLOOKUP(A234,dates!A:B,2,0)</f>
        <v>46539</v>
      </c>
      <c r="C234" s="4">
        <f t="shared" si="396"/>
        <v>0</v>
      </c>
      <c r="D234" s="4">
        <f t="shared" si="396"/>
        <v>0</v>
      </c>
      <c r="E234" s="4">
        <f t="shared" si="396"/>
        <v>0</v>
      </c>
      <c r="F234" s="4">
        <f t="shared" si="396"/>
        <v>0</v>
      </c>
      <c r="G234" s="4">
        <f t="shared" si="396"/>
        <v>0</v>
      </c>
      <c r="H234" s="4">
        <f t="shared" si="396"/>
        <v>0</v>
      </c>
      <c r="I234" s="4">
        <f t="shared" si="396"/>
        <v>0</v>
      </c>
      <c r="J234" s="4">
        <f t="shared" si="396"/>
        <v>0</v>
      </c>
      <c r="K234" s="4">
        <f t="shared" ref="K234:S234" si="401">IF($A108&gt;K$3,0,K171*$C$6)</f>
        <v>0</v>
      </c>
      <c r="L234" s="4">
        <f t="shared" si="401"/>
        <v>0</v>
      </c>
      <c r="M234" s="4">
        <f t="shared" si="401"/>
        <v>0</v>
      </c>
      <c r="N234" s="4">
        <f t="shared" si="401"/>
        <v>0</v>
      </c>
      <c r="O234" s="4">
        <f t="shared" si="401"/>
        <v>0</v>
      </c>
      <c r="P234" s="4">
        <f t="shared" si="401"/>
        <v>0</v>
      </c>
      <c r="Q234" s="4">
        <f t="shared" si="401"/>
        <v>0</v>
      </c>
      <c r="R234" s="4">
        <f t="shared" si="401"/>
        <v>0</v>
      </c>
      <c r="S234" s="4">
        <f t="shared" si="401"/>
        <v>0</v>
      </c>
      <c r="T234" s="4">
        <f t="shared" ref="T234:U234" si="402">IF($A108&gt;T$3,0,T171*$C$6)</f>
        <v>0</v>
      </c>
      <c r="U234" s="4">
        <f t="shared" si="402"/>
        <v>0</v>
      </c>
    </row>
    <row r="235" spans="1:21" x14ac:dyDescent="0.3">
      <c r="A235">
        <f t="shared" si="293"/>
        <v>54</v>
      </c>
      <c r="B235" s="1">
        <f>VLOOKUP(A235,dates!A:B,2,0)</f>
        <v>46569</v>
      </c>
      <c r="C235" s="4">
        <f t="shared" si="396"/>
        <v>0</v>
      </c>
      <c r="D235" s="4">
        <f t="shared" si="396"/>
        <v>0</v>
      </c>
      <c r="E235" s="4">
        <f t="shared" si="396"/>
        <v>0</v>
      </c>
      <c r="F235" s="4">
        <f t="shared" si="396"/>
        <v>0</v>
      </c>
      <c r="G235" s="4">
        <f t="shared" si="396"/>
        <v>0</v>
      </c>
      <c r="H235" s="4">
        <f t="shared" si="396"/>
        <v>0</v>
      </c>
      <c r="I235" s="4">
        <f t="shared" si="396"/>
        <v>0</v>
      </c>
      <c r="J235" s="4">
        <f t="shared" si="396"/>
        <v>0</v>
      </c>
      <c r="K235" s="4">
        <f t="shared" ref="K235:S235" si="403">IF($A109&gt;K$3,0,K172*$C$6)</f>
        <v>0</v>
      </c>
      <c r="L235" s="4">
        <f t="shared" si="403"/>
        <v>0</v>
      </c>
      <c r="M235" s="4">
        <f t="shared" si="403"/>
        <v>0</v>
      </c>
      <c r="N235" s="4">
        <f t="shared" si="403"/>
        <v>0</v>
      </c>
      <c r="O235" s="4">
        <f t="shared" si="403"/>
        <v>0</v>
      </c>
      <c r="P235" s="4">
        <f t="shared" si="403"/>
        <v>0</v>
      </c>
      <c r="Q235" s="4">
        <f t="shared" si="403"/>
        <v>0</v>
      </c>
      <c r="R235" s="4">
        <f t="shared" si="403"/>
        <v>0</v>
      </c>
      <c r="S235" s="4">
        <f t="shared" si="403"/>
        <v>0</v>
      </c>
      <c r="T235" s="4">
        <f t="shared" ref="T235:U235" si="404">IF($A109&gt;T$3,0,T172*$C$6)</f>
        <v>0</v>
      </c>
      <c r="U235" s="4">
        <f t="shared" si="404"/>
        <v>0</v>
      </c>
    </row>
    <row r="236" spans="1:21" x14ac:dyDescent="0.3">
      <c r="A236">
        <f t="shared" si="293"/>
        <v>55</v>
      </c>
      <c r="B236" s="1">
        <f>VLOOKUP(A236,dates!A:B,2,0)</f>
        <v>46600</v>
      </c>
      <c r="C236" s="4">
        <f t="shared" si="396"/>
        <v>0</v>
      </c>
      <c r="D236" s="4">
        <f t="shared" si="396"/>
        <v>0</v>
      </c>
      <c r="E236" s="4">
        <f t="shared" si="396"/>
        <v>0</v>
      </c>
      <c r="F236" s="4">
        <f t="shared" si="396"/>
        <v>0</v>
      </c>
      <c r="G236" s="4">
        <f t="shared" si="396"/>
        <v>0</v>
      </c>
      <c r="H236" s="4">
        <f t="shared" si="396"/>
        <v>0</v>
      </c>
      <c r="I236" s="4">
        <f t="shared" si="396"/>
        <v>0</v>
      </c>
      <c r="J236" s="4">
        <f t="shared" si="396"/>
        <v>0</v>
      </c>
      <c r="K236" s="4">
        <f t="shared" ref="K236:S236" si="405">IF($A110&gt;K$3,0,K173*$C$6)</f>
        <v>0</v>
      </c>
      <c r="L236" s="4">
        <f t="shared" si="405"/>
        <v>0</v>
      </c>
      <c r="M236" s="4">
        <f t="shared" si="405"/>
        <v>0</v>
      </c>
      <c r="N236" s="4">
        <f t="shared" si="405"/>
        <v>0</v>
      </c>
      <c r="O236" s="4">
        <f t="shared" si="405"/>
        <v>0</v>
      </c>
      <c r="P236" s="4">
        <f t="shared" si="405"/>
        <v>0</v>
      </c>
      <c r="Q236" s="4">
        <f t="shared" si="405"/>
        <v>0</v>
      </c>
      <c r="R236" s="4">
        <f t="shared" si="405"/>
        <v>0</v>
      </c>
      <c r="S236" s="4">
        <f t="shared" si="405"/>
        <v>0</v>
      </c>
      <c r="T236" s="4">
        <f t="shared" ref="T236:U236" si="406">IF($A110&gt;T$3,0,T173*$C$6)</f>
        <v>0</v>
      </c>
      <c r="U236" s="4">
        <f t="shared" si="406"/>
        <v>0</v>
      </c>
    </row>
    <row r="237" spans="1:21" x14ac:dyDescent="0.3">
      <c r="A237">
        <f t="shared" si="293"/>
        <v>56</v>
      </c>
      <c r="B237" s="1">
        <f>VLOOKUP(A237,dates!A:B,2,0)</f>
        <v>46631</v>
      </c>
      <c r="C237" s="4">
        <f t="shared" si="396"/>
        <v>0</v>
      </c>
      <c r="D237" s="4">
        <f t="shared" si="396"/>
        <v>0</v>
      </c>
      <c r="E237" s="4">
        <f t="shared" si="396"/>
        <v>0</v>
      </c>
      <c r="F237" s="4">
        <f t="shared" si="396"/>
        <v>0</v>
      </c>
      <c r="G237" s="4">
        <f t="shared" si="396"/>
        <v>0</v>
      </c>
      <c r="H237" s="4">
        <f t="shared" si="396"/>
        <v>0</v>
      </c>
      <c r="I237" s="4">
        <f t="shared" si="396"/>
        <v>0</v>
      </c>
      <c r="J237" s="4">
        <f t="shared" si="396"/>
        <v>0</v>
      </c>
      <c r="K237" s="4">
        <f t="shared" ref="K237:S237" si="407">IF($A111&gt;K$3,0,K174*$C$6)</f>
        <v>0</v>
      </c>
      <c r="L237" s="4">
        <f t="shared" si="407"/>
        <v>0</v>
      </c>
      <c r="M237" s="4">
        <f t="shared" si="407"/>
        <v>0</v>
      </c>
      <c r="N237" s="4">
        <f t="shared" si="407"/>
        <v>0</v>
      </c>
      <c r="O237" s="4">
        <f t="shared" si="407"/>
        <v>0</v>
      </c>
      <c r="P237" s="4">
        <f t="shared" si="407"/>
        <v>0</v>
      </c>
      <c r="Q237" s="4">
        <f t="shared" si="407"/>
        <v>0</v>
      </c>
      <c r="R237" s="4">
        <f t="shared" si="407"/>
        <v>0</v>
      </c>
      <c r="S237" s="4">
        <f t="shared" si="407"/>
        <v>0</v>
      </c>
      <c r="T237" s="4">
        <f t="shared" ref="T237:U237" si="408">IF($A111&gt;T$3,0,T174*$C$6)</f>
        <v>0</v>
      </c>
      <c r="U237" s="4">
        <f t="shared" si="408"/>
        <v>0</v>
      </c>
    </row>
    <row r="238" spans="1:21" x14ac:dyDescent="0.3">
      <c r="A238">
        <f t="shared" si="293"/>
        <v>57</v>
      </c>
      <c r="B238" s="1">
        <f>VLOOKUP(A238,dates!A:B,2,0)</f>
        <v>46661</v>
      </c>
      <c r="C238" s="4">
        <f t="shared" si="396"/>
        <v>0</v>
      </c>
      <c r="D238" s="4">
        <f t="shared" si="396"/>
        <v>0</v>
      </c>
      <c r="E238" s="4">
        <f t="shared" si="396"/>
        <v>0</v>
      </c>
      <c r="F238" s="4">
        <f t="shared" si="396"/>
        <v>0</v>
      </c>
      <c r="G238" s="4">
        <f t="shared" si="396"/>
        <v>0</v>
      </c>
      <c r="H238" s="4">
        <f t="shared" si="396"/>
        <v>0</v>
      </c>
      <c r="I238" s="4">
        <f t="shared" si="396"/>
        <v>0</v>
      </c>
      <c r="J238" s="4">
        <f t="shared" si="396"/>
        <v>0</v>
      </c>
      <c r="K238" s="4">
        <f t="shared" ref="K238:S238" si="409">IF($A112&gt;K$3,0,K175*$C$6)</f>
        <v>0</v>
      </c>
      <c r="L238" s="4">
        <f t="shared" si="409"/>
        <v>0</v>
      </c>
      <c r="M238" s="4">
        <f t="shared" si="409"/>
        <v>0</v>
      </c>
      <c r="N238" s="4">
        <f t="shared" si="409"/>
        <v>0</v>
      </c>
      <c r="O238" s="4">
        <f t="shared" si="409"/>
        <v>0</v>
      </c>
      <c r="P238" s="4">
        <f t="shared" si="409"/>
        <v>0</v>
      </c>
      <c r="Q238" s="4">
        <f t="shared" si="409"/>
        <v>0</v>
      </c>
      <c r="R238" s="4">
        <f t="shared" si="409"/>
        <v>0</v>
      </c>
      <c r="S238" s="4">
        <f t="shared" si="409"/>
        <v>0</v>
      </c>
      <c r="T238" s="4">
        <f t="shared" ref="T238:U238" si="410">IF($A112&gt;T$3,0,T175*$C$6)</f>
        <v>0</v>
      </c>
      <c r="U238" s="4">
        <f t="shared" si="410"/>
        <v>0</v>
      </c>
    </row>
    <row r="239" spans="1:21" x14ac:dyDescent="0.3">
      <c r="A239">
        <f t="shared" si="293"/>
        <v>58</v>
      </c>
      <c r="B239" s="1">
        <f>VLOOKUP(A239,dates!A:B,2,0)</f>
        <v>46692</v>
      </c>
      <c r="C239" s="4">
        <f t="shared" si="396"/>
        <v>0</v>
      </c>
      <c r="D239" s="4">
        <f t="shared" si="396"/>
        <v>0</v>
      </c>
      <c r="E239" s="4">
        <f t="shared" si="396"/>
        <v>0</v>
      </c>
      <c r="F239" s="4">
        <f t="shared" si="396"/>
        <v>0</v>
      </c>
      <c r="G239" s="4">
        <f t="shared" si="396"/>
        <v>0</v>
      </c>
      <c r="H239" s="4">
        <f t="shared" si="396"/>
        <v>0</v>
      </c>
      <c r="I239" s="4">
        <f t="shared" si="396"/>
        <v>0</v>
      </c>
      <c r="J239" s="4">
        <f t="shared" si="396"/>
        <v>0</v>
      </c>
      <c r="K239" s="4">
        <f t="shared" ref="K239:S239" si="411">IF($A113&gt;K$3,0,K176*$C$6)</f>
        <v>0</v>
      </c>
      <c r="L239" s="4">
        <f t="shared" si="411"/>
        <v>0</v>
      </c>
      <c r="M239" s="4">
        <f t="shared" si="411"/>
        <v>0</v>
      </c>
      <c r="N239" s="4">
        <f t="shared" si="411"/>
        <v>0</v>
      </c>
      <c r="O239" s="4">
        <f t="shared" si="411"/>
        <v>0</v>
      </c>
      <c r="P239" s="4">
        <f t="shared" si="411"/>
        <v>0</v>
      </c>
      <c r="Q239" s="4">
        <f t="shared" si="411"/>
        <v>0</v>
      </c>
      <c r="R239" s="4">
        <f t="shared" si="411"/>
        <v>0</v>
      </c>
      <c r="S239" s="4">
        <f t="shared" si="411"/>
        <v>0</v>
      </c>
      <c r="T239" s="4">
        <f t="shared" ref="T239:U239" si="412">IF($A113&gt;T$3,0,T176*$C$6)</f>
        <v>0</v>
      </c>
      <c r="U239" s="4">
        <f t="shared" si="412"/>
        <v>0</v>
      </c>
    </row>
    <row r="240" spans="1:21" x14ac:dyDescent="0.3">
      <c r="A240">
        <f t="shared" si="293"/>
        <v>59</v>
      </c>
      <c r="B240" s="1">
        <f>VLOOKUP(A240,dates!A:B,2,0)</f>
        <v>46722</v>
      </c>
      <c r="C240" s="4">
        <f t="shared" si="396"/>
        <v>0</v>
      </c>
      <c r="D240" s="4">
        <f t="shared" si="396"/>
        <v>0</v>
      </c>
      <c r="E240" s="4">
        <f t="shared" si="396"/>
        <v>0</v>
      </c>
      <c r="F240" s="4">
        <f t="shared" si="396"/>
        <v>0</v>
      </c>
      <c r="G240" s="4">
        <f t="shared" si="396"/>
        <v>0</v>
      </c>
      <c r="H240" s="4">
        <f t="shared" si="396"/>
        <v>0</v>
      </c>
      <c r="I240" s="4">
        <f t="shared" si="396"/>
        <v>0</v>
      </c>
      <c r="J240" s="4">
        <f t="shared" si="396"/>
        <v>0</v>
      </c>
      <c r="K240" s="4">
        <f t="shared" ref="K240:S240" si="413">IF($A114&gt;K$3,0,K177*$C$6)</f>
        <v>0</v>
      </c>
      <c r="L240" s="4">
        <f t="shared" si="413"/>
        <v>0</v>
      </c>
      <c r="M240" s="4">
        <f t="shared" si="413"/>
        <v>0</v>
      </c>
      <c r="N240" s="4">
        <f t="shared" si="413"/>
        <v>0</v>
      </c>
      <c r="O240" s="4">
        <f t="shared" si="413"/>
        <v>0</v>
      </c>
      <c r="P240" s="4">
        <f t="shared" si="413"/>
        <v>0</v>
      </c>
      <c r="Q240" s="4">
        <f t="shared" si="413"/>
        <v>0</v>
      </c>
      <c r="R240" s="4">
        <f t="shared" si="413"/>
        <v>0</v>
      </c>
      <c r="S240" s="4">
        <f t="shared" si="413"/>
        <v>0</v>
      </c>
      <c r="T240" s="4">
        <f t="shared" ref="T240:U240" si="414">IF($A114&gt;T$3,0,T177*$C$6)</f>
        <v>0</v>
      </c>
      <c r="U240" s="4">
        <f t="shared" si="414"/>
        <v>0</v>
      </c>
    </row>
    <row r="241" spans="1:21" x14ac:dyDescent="0.3">
      <c r="A241">
        <f t="shared" si="293"/>
        <v>60</v>
      </c>
      <c r="B241" s="1">
        <f>VLOOKUP(A241,dates!A:B,2,0)</f>
        <v>46753</v>
      </c>
      <c r="C241" s="4">
        <f t="shared" si="396"/>
        <v>0</v>
      </c>
      <c r="D241" s="4">
        <f t="shared" si="396"/>
        <v>0</v>
      </c>
      <c r="E241" s="4">
        <f t="shared" si="396"/>
        <v>0</v>
      </c>
      <c r="F241" s="4">
        <f t="shared" si="396"/>
        <v>0</v>
      </c>
      <c r="G241" s="4">
        <f t="shared" si="396"/>
        <v>0</v>
      </c>
      <c r="H241" s="4">
        <f t="shared" si="396"/>
        <v>0</v>
      </c>
      <c r="I241" s="4">
        <f t="shared" si="396"/>
        <v>0</v>
      </c>
      <c r="J241" s="4">
        <f t="shared" si="396"/>
        <v>0</v>
      </c>
      <c r="K241" s="4">
        <f t="shared" ref="K241:S241" si="415">IF($A115&gt;K$3,0,K178*$C$6)</f>
        <v>0</v>
      </c>
      <c r="L241" s="4">
        <f t="shared" si="415"/>
        <v>0</v>
      </c>
      <c r="M241" s="4">
        <f t="shared" si="415"/>
        <v>0</v>
      </c>
      <c r="N241" s="4">
        <f t="shared" si="415"/>
        <v>0</v>
      </c>
      <c r="O241" s="4">
        <f t="shared" si="415"/>
        <v>0</v>
      </c>
      <c r="P241" s="4">
        <f t="shared" si="415"/>
        <v>0</v>
      </c>
      <c r="Q241" s="4">
        <f t="shared" si="415"/>
        <v>0</v>
      </c>
      <c r="R241" s="4">
        <f t="shared" si="415"/>
        <v>0</v>
      </c>
      <c r="S241" s="4">
        <f t="shared" si="415"/>
        <v>0</v>
      </c>
      <c r="T241" s="4">
        <f t="shared" ref="T241:U241" si="416">IF($A115&gt;T$3,0,T178*$C$6)</f>
        <v>0</v>
      </c>
      <c r="U241" s="4">
        <f t="shared" si="416"/>
        <v>0</v>
      </c>
    </row>
    <row r="243" spans="1:21" x14ac:dyDescent="0.3">
      <c r="A243" t="s">
        <v>14</v>
      </c>
      <c r="B243" t="s">
        <v>13</v>
      </c>
      <c r="C243" s="3" t="s">
        <v>2</v>
      </c>
      <c r="D243" s="3" t="s">
        <v>2</v>
      </c>
      <c r="E243" s="3" t="s">
        <v>2</v>
      </c>
      <c r="F243" s="3" t="s">
        <v>2</v>
      </c>
      <c r="G243" s="3" t="s">
        <v>2</v>
      </c>
      <c r="H243" s="3" t="s">
        <v>2</v>
      </c>
      <c r="I243" s="3" t="s">
        <v>2</v>
      </c>
      <c r="J243" s="3" t="s">
        <v>2</v>
      </c>
      <c r="K243" s="3" t="s">
        <v>2</v>
      </c>
      <c r="L243" s="3" t="s">
        <v>2</v>
      </c>
      <c r="M243" s="3" t="s">
        <v>2</v>
      </c>
      <c r="N243" s="3" t="s">
        <v>2</v>
      </c>
      <c r="O243" s="3" t="s">
        <v>2</v>
      </c>
      <c r="P243" s="3" t="s">
        <v>2</v>
      </c>
      <c r="Q243" s="3" t="s">
        <v>2</v>
      </c>
      <c r="R243" s="3" t="s">
        <v>2</v>
      </c>
      <c r="S243" s="3" t="s">
        <v>2</v>
      </c>
      <c r="T243" s="3" t="s">
        <v>2</v>
      </c>
      <c r="U243" s="3" t="s">
        <v>2</v>
      </c>
    </row>
    <row r="244" spans="1:21" x14ac:dyDescent="0.3">
      <c r="A244">
        <v>0</v>
      </c>
      <c r="B244" s="1">
        <f>VLOOKUP(A244,dates!A:B,2,0)</f>
        <v>44927</v>
      </c>
    </row>
    <row r="245" spans="1:21" x14ac:dyDescent="0.3">
      <c r="A245">
        <v>1</v>
      </c>
      <c r="B245" s="1">
        <f>VLOOKUP(A245,dates!A:B,2,0)</f>
        <v>44958</v>
      </c>
      <c r="C245" s="4">
        <f t="shared" ref="C245:J254" si="417">IF($A56&gt;C$3,0,C119*$C$7)</f>
        <v>15</v>
      </c>
      <c r="D245" s="4">
        <f t="shared" si="417"/>
        <v>15</v>
      </c>
      <c r="E245" s="4">
        <f t="shared" si="417"/>
        <v>15</v>
      </c>
      <c r="F245" s="4">
        <f t="shared" si="417"/>
        <v>15</v>
      </c>
      <c r="G245" s="4">
        <f t="shared" si="417"/>
        <v>15</v>
      </c>
      <c r="H245" s="4">
        <f t="shared" si="417"/>
        <v>15</v>
      </c>
      <c r="I245" s="4">
        <f t="shared" si="417"/>
        <v>15</v>
      </c>
      <c r="J245" s="4">
        <f t="shared" si="417"/>
        <v>15</v>
      </c>
      <c r="K245" s="4">
        <f t="shared" ref="K245:S245" si="418">IF($A56&gt;K$3,0,K119*$C$7)</f>
        <v>15</v>
      </c>
      <c r="L245" s="4">
        <f t="shared" si="418"/>
        <v>15</v>
      </c>
      <c r="M245" s="4">
        <f t="shared" si="418"/>
        <v>15</v>
      </c>
      <c r="N245" s="4">
        <f t="shared" si="418"/>
        <v>15</v>
      </c>
      <c r="O245" s="4">
        <f t="shared" si="418"/>
        <v>15</v>
      </c>
      <c r="P245" s="4">
        <f t="shared" si="418"/>
        <v>15</v>
      </c>
      <c r="Q245" s="4">
        <f t="shared" si="418"/>
        <v>15</v>
      </c>
      <c r="R245" s="4">
        <f t="shared" si="418"/>
        <v>15</v>
      </c>
      <c r="S245" s="4">
        <f t="shared" si="418"/>
        <v>15</v>
      </c>
      <c r="T245" s="4">
        <f t="shared" ref="T245:U245" si="419">IF($A56&gt;T$3,0,T119*$C$7)</f>
        <v>15</v>
      </c>
      <c r="U245" s="4">
        <f t="shared" si="419"/>
        <v>15</v>
      </c>
    </row>
    <row r="246" spans="1:21" x14ac:dyDescent="0.3">
      <c r="A246">
        <f t="shared" ref="A246:A304" si="420">A245+1</f>
        <v>2</v>
      </c>
      <c r="B246" s="1">
        <f>VLOOKUP(A246,dates!A:B,2,0)</f>
        <v>44986</v>
      </c>
      <c r="C246" s="4">
        <f t="shared" si="417"/>
        <v>9.9144403124669953</v>
      </c>
      <c r="D246" s="4">
        <f t="shared" si="417"/>
        <v>12.430025775420415</v>
      </c>
      <c r="E246" s="4">
        <f t="shared" si="417"/>
        <v>13.268134748253571</v>
      </c>
      <c r="F246" s="4">
        <f t="shared" si="417"/>
        <v>13.435672685561659</v>
      </c>
      <c r="G246" s="4">
        <f t="shared" si="417"/>
        <v>13.686874834615722</v>
      </c>
      <c r="H246" s="4">
        <f t="shared" si="417"/>
        <v>13.937867630492359</v>
      </c>
      <c r="I246" s="4">
        <f t="shared" si="417"/>
        <v>14.104987063689519</v>
      </c>
      <c r="J246" s="4">
        <f t="shared" si="417"/>
        <v>14.313416966637421</v>
      </c>
      <c r="K246" s="4">
        <f t="shared" ref="K246:S246" si="421">IF($A57&gt;K$3,0,K120*$C$7)</f>
        <v>14.520601927075088</v>
      </c>
      <c r="L246" s="4">
        <f t="shared" si="421"/>
        <v>9.9144403124669953</v>
      </c>
      <c r="M246" s="4">
        <f t="shared" si="421"/>
        <v>12.392916380829357</v>
      </c>
      <c r="N246" s="4">
        <f t="shared" si="421"/>
        <v>13.218412555219855</v>
      </c>
      <c r="O246" s="4">
        <f t="shared" si="421"/>
        <v>13.383362657023335</v>
      </c>
      <c r="P246" s="4">
        <f t="shared" si="421"/>
        <v>13.630589518713801</v>
      </c>
      <c r="Q246" s="4">
        <f t="shared" si="421"/>
        <v>13.877544918565015</v>
      </c>
      <c r="R246" s="4">
        <f t="shared" si="421"/>
        <v>14.041769483476298</v>
      </c>
      <c r="S246" s="4">
        <f t="shared" si="421"/>
        <v>14.246368650271702</v>
      </c>
      <c r="T246" s="4">
        <f t="shared" ref="T246:U246" si="422">IF($A57&gt;T$3,0,T120*$C$7)</f>
        <v>14.448897402637421</v>
      </c>
      <c r="U246" s="4">
        <f t="shared" si="422"/>
        <v>13.824573392581245</v>
      </c>
    </row>
    <row r="247" spans="1:21" x14ac:dyDescent="0.3">
      <c r="A247">
        <f t="shared" si="420"/>
        <v>3</v>
      </c>
      <c r="B247" s="1">
        <f>VLOOKUP(A247,dates!A:B,2,0)</f>
        <v>45017</v>
      </c>
      <c r="C247" s="4">
        <f t="shared" si="417"/>
        <v>4.8136239458713908</v>
      </c>
      <c r="D247" s="4">
        <f t="shared" si="417"/>
        <v>9.8523416281670908</v>
      </c>
      <c r="E247" s="4">
        <f t="shared" si="417"/>
        <v>11.531073900751899</v>
      </c>
      <c r="F247" s="4">
        <f t="shared" si="417"/>
        <v>11.866652389180002</v>
      </c>
      <c r="G247" s="4">
        <f t="shared" si="417"/>
        <v>12.369810293735293</v>
      </c>
      <c r="H247" s="4">
        <f t="shared" si="417"/>
        <v>12.872548863876194</v>
      </c>
      <c r="I247" s="4">
        <f t="shared" si="417"/>
        <v>13.207289088570105</v>
      </c>
      <c r="J247" s="4">
        <f t="shared" si="417"/>
        <v>13.624774184174752</v>
      </c>
      <c r="K247" s="4">
        <f t="shared" ref="K247:S247" si="423">IF($A58&gt;K$3,0,K121*$C$7)</f>
        <v>14.039765659931399</v>
      </c>
      <c r="L247" s="4">
        <f t="shared" si="423"/>
        <v>4.8136239458713908</v>
      </c>
      <c r="M247" s="4">
        <f t="shared" si="423"/>
        <v>9.7780115108012016</v>
      </c>
      <c r="N247" s="4">
        <f t="shared" si="423"/>
        <v>11.431480348105369</v>
      </c>
      <c r="O247" s="4">
        <f t="shared" si="423"/>
        <v>11.76187540201774</v>
      </c>
      <c r="P247" s="4">
        <f t="shared" si="423"/>
        <v>12.257070805983743</v>
      </c>
      <c r="Q247" s="4">
        <f t="shared" si="423"/>
        <v>12.751722471885722</v>
      </c>
      <c r="R247" s="4">
        <f t="shared" si="423"/>
        <v>13.080664275403024</v>
      </c>
      <c r="S247" s="4">
        <f t="shared" si="423"/>
        <v>13.490476406494215</v>
      </c>
      <c r="T247" s="4">
        <f t="shared" ref="T247:U247" si="424">IF($A58&gt;T$3,0,T121*$C$7)</f>
        <v>13.896141497482757</v>
      </c>
      <c r="U247" s="4">
        <f t="shared" si="424"/>
        <v>12.645620505340233</v>
      </c>
    </row>
    <row r="248" spans="1:21" x14ac:dyDescent="0.3">
      <c r="A248">
        <f t="shared" si="420"/>
        <v>4</v>
      </c>
      <c r="B248" s="1">
        <f>VLOOKUP(A248,dates!A:B,2,0)</f>
        <v>45047</v>
      </c>
      <c r="C248" s="4">
        <f t="shared" si="417"/>
        <v>0</v>
      </c>
      <c r="D248" s="4">
        <f t="shared" si="417"/>
        <v>7.2669244284720085</v>
      </c>
      <c r="E248" s="4">
        <f t="shared" si="417"/>
        <v>9.788801870707724</v>
      </c>
      <c r="F248" s="4">
        <f t="shared" si="417"/>
        <v>10.292925031909201</v>
      </c>
      <c r="G248" s="4">
        <f t="shared" si="417"/>
        <v>11.048794559232224</v>
      </c>
      <c r="H248" s="4">
        <f t="shared" si="417"/>
        <v>11.80403414096018</v>
      </c>
      <c r="I248" s="4">
        <f t="shared" si="417"/>
        <v>12.306898019525335</v>
      </c>
      <c r="J248" s="4">
        <f t="shared" si="417"/>
        <v>12.934065473364695</v>
      </c>
      <c r="K248" s="4">
        <f t="shared" ref="K248:S248" si="425">IF($A59&gt;K$3,0,K122*$C$7)</f>
        <v>13.557486883986279</v>
      </c>
      <c r="L248" s="4">
        <f t="shared" si="425"/>
        <v>0</v>
      </c>
      <c r="M248" s="4">
        <f t="shared" si="425"/>
        <v>7.1552619261629626</v>
      </c>
      <c r="N248" s="4">
        <f t="shared" si="425"/>
        <v>9.6391873443695406</v>
      </c>
      <c r="O248" s="4">
        <f t="shared" si="425"/>
        <v>10.135523685247128</v>
      </c>
      <c r="P248" s="4">
        <f t="shared" si="425"/>
        <v>10.879431537115497</v>
      </c>
      <c r="Q248" s="4">
        <f t="shared" si="425"/>
        <v>11.622522557866395</v>
      </c>
      <c r="R248" s="4">
        <f t="shared" si="425"/>
        <v>12.116675751705531</v>
      </c>
      <c r="S248" s="4">
        <f t="shared" si="425"/>
        <v>12.732316485985399</v>
      </c>
      <c r="T248" s="4">
        <f t="shared" ref="T248:U248" si="426">IF($A59&gt;T$3,0,T122*$C$7)</f>
        <v>13.341727324612629</v>
      </c>
      <c r="U248" s="4">
        <f t="shared" si="426"/>
        <v>11.463130759437501</v>
      </c>
    </row>
    <row r="249" spans="1:21" x14ac:dyDescent="0.3">
      <c r="A249">
        <f t="shared" si="420"/>
        <v>5</v>
      </c>
      <c r="B249" s="1">
        <f>VLOOKUP(A249,dates!A:B,2,0)</f>
        <v>45078</v>
      </c>
      <c r="C249" s="4">
        <f t="shared" si="417"/>
        <v>0</v>
      </c>
      <c r="D249" s="4">
        <f t="shared" si="417"/>
        <v>4.67375097717784</v>
      </c>
      <c r="E249" s="4">
        <f t="shared" si="417"/>
        <v>8.0413030245734163</v>
      </c>
      <c r="F249" s="4">
        <f t="shared" si="417"/>
        <v>8.7144764925665879</v>
      </c>
      <c r="G249" s="4">
        <f t="shared" si="417"/>
        <v>9.7238157775256457</v>
      </c>
      <c r="H249" s="4">
        <f t="shared" si="417"/>
        <v>10.73231387387542</v>
      </c>
      <c r="I249" s="4">
        <f t="shared" si="417"/>
        <v>11.403805777273428</v>
      </c>
      <c r="J249" s="4">
        <f t="shared" si="417"/>
        <v>12.241284636422208</v>
      </c>
      <c r="K249" s="4">
        <f t="shared" ref="K249:S249" si="427">IF($A60&gt;K$3,0,K123*$C$7)</f>
        <v>13.073761271713325</v>
      </c>
      <c r="L249" s="4">
        <f t="shared" si="427"/>
        <v>0</v>
      </c>
      <c r="M249" s="4">
        <f t="shared" si="427"/>
        <v>4.5246440927708074</v>
      </c>
      <c r="N249" s="4">
        <f t="shared" si="427"/>
        <v>7.841517461622507</v>
      </c>
      <c r="O249" s="4">
        <f t="shared" si="427"/>
        <v>8.5042929133262017</v>
      </c>
      <c r="P249" s="4">
        <f t="shared" si="427"/>
        <v>9.4976593504406441</v>
      </c>
      <c r="Q249" s="4">
        <f t="shared" si="427"/>
        <v>10.489935044105009</v>
      </c>
      <c r="R249" s="4">
        <f t="shared" si="427"/>
        <v>11.149795262436944</v>
      </c>
      <c r="S249" s="4">
        <f t="shared" si="427"/>
        <v>11.971882085715057</v>
      </c>
      <c r="T249" s="4">
        <f t="shared" ref="T249:U249" si="428">IF($A60&gt;T$3,0,T123*$C$7)</f>
        <v>12.785649909223888</v>
      </c>
      <c r="U249" s="4">
        <f t="shared" si="428"/>
        <v>10.277093544297058</v>
      </c>
    </row>
    <row r="250" spans="1:21" x14ac:dyDescent="0.3">
      <c r="A250">
        <f t="shared" si="420"/>
        <v>6</v>
      </c>
      <c r="B250" s="1">
        <f>VLOOKUP(A250,dates!A:B,2,0)</f>
        <v>45108</v>
      </c>
      <c r="C250" s="4">
        <f t="shared" si="417"/>
        <v>0</v>
      </c>
      <c r="D250" s="4">
        <f t="shared" si="417"/>
        <v>2.0727980055297888</v>
      </c>
      <c r="E250" s="4">
        <f t="shared" si="417"/>
        <v>6.2885616819007071</v>
      </c>
      <c r="F250" s="4">
        <f t="shared" si="417"/>
        <v>7.1312926076059462</v>
      </c>
      <c r="G250" s="4">
        <f t="shared" si="417"/>
        <v>8.3948620594739438</v>
      </c>
      <c r="H250" s="4">
        <f t="shared" si="417"/>
        <v>9.6573784459894032</v>
      </c>
      <c r="I250" s="4">
        <f t="shared" si="417"/>
        <v>10.498004258294769</v>
      </c>
      <c r="J250" s="4">
        <f t="shared" si="417"/>
        <v>11.546425456968896</v>
      </c>
      <c r="K250" s="4">
        <f t="shared" ref="K250:S250" si="429">IF($A61&gt;K$3,0,K124*$C$7)</f>
        <v>12.588584482603549</v>
      </c>
      <c r="L250" s="4">
        <f t="shared" si="429"/>
        <v>0</v>
      </c>
      <c r="M250" s="4">
        <f t="shared" si="429"/>
        <v>1.8861344058784766</v>
      </c>
      <c r="N250" s="4">
        <f t="shared" si="429"/>
        <v>6.0384545692272305</v>
      </c>
      <c r="O250" s="4">
        <f t="shared" si="429"/>
        <v>6.8681684490895156</v>
      </c>
      <c r="P250" s="4">
        <f t="shared" si="429"/>
        <v>8.1117418472057672</v>
      </c>
      <c r="Q250" s="4">
        <f t="shared" si="429"/>
        <v>9.3539497678023356</v>
      </c>
      <c r="R250" s="4">
        <f t="shared" si="429"/>
        <v>10.180014131700551</v>
      </c>
      <c r="S250" s="4">
        <f t="shared" si="429"/>
        <v>11.209166382243902</v>
      </c>
      <c r="T250" s="4">
        <f t="shared" ref="T250:U250" si="430">IF($A61&gt;T$3,0,T124*$C$7)</f>
        <v>12.22790426158898</v>
      </c>
      <c r="U250" s="4">
        <f t="shared" si="430"/>
        <v>9.0874982175111931</v>
      </c>
    </row>
    <row r="251" spans="1:21" x14ac:dyDescent="0.3">
      <c r="A251">
        <f t="shared" si="420"/>
        <v>7</v>
      </c>
      <c r="B251" s="1">
        <f>VLOOKUP(A251,dates!A:B,2,0)</f>
        <v>45139</v>
      </c>
      <c r="C251" s="4">
        <f t="shared" si="417"/>
        <v>0</v>
      </c>
      <c r="D251" s="4">
        <f t="shared" si="417"/>
        <v>0</v>
      </c>
      <c r="E251" s="4">
        <f t="shared" si="417"/>
        <v>4.5305621151999782</v>
      </c>
      <c r="F251" s="4">
        <f t="shared" si="417"/>
        <v>5.5433591709904224</v>
      </c>
      <c r="G251" s="4">
        <f t="shared" si="417"/>
        <v>7.061921480268091</v>
      </c>
      <c r="H251" s="4">
        <f t="shared" si="417"/>
        <v>8.5792182118197307</v>
      </c>
      <c r="I251" s="4">
        <f t="shared" si="417"/>
        <v>9.5894853347591713</v>
      </c>
      <c r="J251" s="4">
        <f t="shared" si="417"/>
        <v>10.84948169997722</v>
      </c>
      <c r="K251" s="4">
        <f t="shared" ref="K251:S251" si="431">IF($A62&gt;K$3,0,K125*$C$7)</f>
        <v>12.101952163126446</v>
      </c>
      <c r="L251" s="4">
        <f t="shared" si="431"/>
        <v>0</v>
      </c>
      <c r="M251" s="4">
        <f t="shared" si="431"/>
        <v>0</v>
      </c>
      <c r="N251" s="4">
        <f t="shared" si="431"/>
        <v>4.2299824881547679</v>
      </c>
      <c r="O251" s="4">
        <f t="shared" si="431"/>
        <v>5.2271356114601186</v>
      </c>
      <c r="P251" s="4">
        <f t="shared" si="431"/>
        <v>6.7216665914611875</v>
      </c>
      <c r="Q251" s="4">
        <f t="shared" si="431"/>
        <v>8.2145565356707557</v>
      </c>
      <c r="R251" s="4">
        <f t="shared" si="431"/>
        <v>9.2073236575719495</v>
      </c>
      <c r="S251" s="4">
        <f t="shared" si="431"/>
        <v>10.444162531662336</v>
      </c>
      <c r="T251" s="4">
        <f t="shared" ref="T251:U251" si="432">IF($A62&gt;T$3,0,T125*$C$7)</f>
        <v>11.668485377011169</v>
      </c>
      <c r="U251" s="4">
        <f t="shared" si="432"/>
        <v>7.8943341047449724</v>
      </c>
    </row>
    <row r="252" spans="1:21" x14ac:dyDescent="0.3">
      <c r="A252">
        <f t="shared" si="420"/>
        <v>8</v>
      </c>
      <c r="B252" s="1">
        <f>VLOOKUP(A252,dates!A:B,2,0)</f>
        <v>45170</v>
      </c>
      <c r="C252" s="4">
        <f t="shared" si="417"/>
        <v>0</v>
      </c>
      <c r="D252" s="4">
        <f t="shared" si="417"/>
        <v>0</v>
      </c>
      <c r="E252" s="4">
        <f t="shared" si="417"/>
        <v>2.7672885497991477</v>
      </c>
      <c r="F252" s="4">
        <f t="shared" si="417"/>
        <v>3.9506619340650531</v>
      </c>
      <c r="G252" s="4">
        <f t="shared" si="417"/>
        <v>5.7249820793246187</v>
      </c>
      <c r="H252" s="4">
        <f t="shared" si="417"/>
        <v>7.4978234969475475</v>
      </c>
      <c r="I252" s="4">
        <f t="shared" si="417"/>
        <v>8.6782408544529677</v>
      </c>
      <c r="J252" s="4">
        <f t="shared" si="417"/>
        <v>10.150447111714572</v>
      </c>
      <c r="K252" s="4">
        <f t="shared" ref="K252:S252" si="433">IF($A63&gt;K$3,0,K126*$C$7)</f>
        <v>11.613859946690914</v>
      </c>
      <c r="L252" s="4">
        <f t="shared" si="433"/>
        <v>0</v>
      </c>
      <c r="M252" s="4">
        <f t="shared" si="433"/>
        <v>0</v>
      </c>
      <c r="N252" s="4">
        <f t="shared" si="433"/>
        <v>2.4160849908390882</v>
      </c>
      <c r="O252" s="4">
        <f t="shared" si="433"/>
        <v>3.5811796753178333</v>
      </c>
      <c r="P252" s="4">
        <f t="shared" si="433"/>
        <v>5.3274211099493707</v>
      </c>
      <c r="Q252" s="4">
        <f t="shared" si="433"/>
        <v>7.0717451238427813</v>
      </c>
      <c r="R252" s="4">
        <f t="shared" si="433"/>
        <v>8.2317151120209608</v>
      </c>
      <c r="S252" s="4">
        <f t="shared" si="433"/>
        <v>9.6768636695290233</v>
      </c>
      <c r="T252" s="4">
        <f t="shared" ref="T252:U252" si="434">IF($A63&gt;T$3,0,T126*$C$7)</f>
        <v>11.107388235779625</v>
      </c>
      <c r="U252" s="4">
        <f t="shared" si="434"/>
        <v>6.6975904996404534</v>
      </c>
    </row>
    <row r="253" spans="1:21" x14ac:dyDescent="0.3">
      <c r="A253">
        <f t="shared" si="420"/>
        <v>9</v>
      </c>
      <c r="B253" s="1">
        <f>VLOOKUP(A253,dates!A:B,2,0)</f>
        <v>45200</v>
      </c>
      <c r="C253" s="4">
        <f t="shared" si="417"/>
        <v>0</v>
      </c>
      <c r="D253" s="4">
        <f t="shared" si="417"/>
        <v>0</v>
      </c>
      <c r="E253" s="4">
        <f t="shared" si="417"/>
        <v>0.99872516370211439</v>
      </c>
      <c r="F253" s="4">
        <f t="shared" si="417"/>
        <v>2.3531866054289066</v>
      </c>
      <c r="G253" s="4">
        <f t="shared" si="417"/>
        <v>4.3840318601783164</v>
      </c>
      <c r="H253" s="4">
        <f t="shared" si="417"/>
        <v>6.4131845979307487</v>
      </c>
      <c r="I253" s="4">
        <f t="shared" si="417"/>
        <v>7.7642626407058453</v>
      </c>
      <c r="J253" s="4">
        <f t="shared" si="417"/>
        <v>9.4493154196871352</v>
      </c>
      <c r="K253" s="4">
        <f t="shared" ref="K253:S253" si="435">IF($A64&gt;K$3,0,K127*$C$7)</f>
        <v>11.124303453606073</v>
      </c>
      <c r="L253" s="4">
        <f t="shared" si="435"/>
        <v>0</v>
      </c>
      <c r="M253" s="4">
        <f t="shared" si="435"/>
        <v>0</v>
      </c>
      <c r="N253" s="4">
        <f t="shared" si="435"/>
        <v>0.59674580103146169</v>
      </c>
      <c r="O253" s="4">
        <f t="shared" si="435"/>
        <v>1.9302858713671209</v>
      </c>
      <c r="P253" s="4">
        <f t="shared" si="435"/>
        <v>3.9289928919930204</v>
      </c>
      <c r="Q253" s="4">
        <f t="shared" si="435"/>
        <v>5.9255052777793242</v>
      </c>
      <c r="R253" s="4">
        <f t="shared" si="435"/>
        <v>7.2531797408333212</v>
      </c>
      <c r="S253" s="4">
        <f t="shared" si="435"/>
        <v>8.90726291080931</v>
      </c>
      <c r="T253" s="4">
        <f t="shared" ref="T253:U253" si="436">IF($A64&gt;T$3,0,T127*$C$7)</f>
        <v>10.544607803124384</v>
      </c>
      <c r="U253" s="4">
        <f t="shared" si="436"/>
        <v>5.4972566637206208</v>
      </c>
    </row>
    <row r="254" spans="1:21" x14ac:dyDescent="0.3">
      <c r="A254">
        <f t="shared" si="420"/>
        <v>10</v>
      </c>
      <c r="B254" s="1">
        <f>VLOOKUP(A254,dates!A:B,2,0)</f>
        <v>45231</v>
      </c>
      <c r="C254" s="4">
        <f t="shared" si="417"/>
        <v>0</v>
      </c>
      <c r="D254" s="4">
        <f t="shared" si="417"/>
        <v>0</v>
      </c>
      <c r="E254" s="4">
        <f t="shared" si="417"/>
        <v>0</v>
      </c>
      <c r="F254" s="4">
        <f t="shared" si="417"/>
        <v>0.75091885080685228</v>
      </c>
      <c r="G254" s="4">
        <f t="shared" si="417"/>
        <v>3.0390587903745758</v>
      </c>
      <c r="H254" s="4">
        <f t="shared" si="417"/>
        <v>5.3252917822169001</v>
      </c>
      <c r="I254" s="4">
        <f t="shared" si="417"/>
        <v>6.8475424923174817</v>
      </c>
      <c r="J254" s="4">
        <f t="shared" si="417"/>
        <v>8.7460803325836167</v>
      </c>
      <c r="K254" s="4">
        <f t="shared" ref="K254:S254" si="437">IF($A65&gt;K$3,0,K128*$C$7)</f>
        <v>10.633278291041979</v>
      </c>
      <c r="L254" s="4">
        <f t="shared" si="437"/>
        <v>0</v>
      </c>
      <c r="M254" s="4">
        <f t="shared" si="437"/>
        <v>0</v>
      </c>
      <c r="N254" s="4">
        <f t="shared" si="437"/>
        <v>0</v>
      </c>
      <c r="O254" s="4">
        <f t="shared" si="437"/>
        <v>0.27443938600455681</v>
      </c>
      <c r="P254" s="4">
        <f t="shared" si="437"/>
        <v>2.5263693893828005</v>
      </c>
      <c r="Q254" s="4">
        <f t="shared" si="437"/>
        <v>4.7758267121776754</v>
      </c>
      <c r="R254" s="4">
        <f t="shared" si="437"/>
        <v>6.2717087635321178</v>
      </c>
      <c r="S254" s="4">
        <f t="shared" si="437"/>
        <v>8.1353533498134389</v>
      </c>
      <c r="T254" s="4">
        <f t="shared" ref="T254:U254" si="438">IF($A65&gt;T$3,0,T128*$C$7)</f>
        <v>9.9801390291711787</v>
      </c>
      <c r="U254" s="4">
        <f t="shared" si="438"/>
        <v>4.2933218262930275</v>
      </c>
    </row>
    <row r="255" spans="1:21" x14ac:dyDescent="0.3">
      <c r="A255">
        <f t="shared" si="420"/>
        <v>11</v>
      </c>
      <c r="B255" s="1">
        <f>VLOOKUP(A255,dates!A:B,2,0)</f>
        <v>45261</v>
      </c>
      <c r="C255" s="4">
        <f t="shared" ref="C255:J264" si="439">IF($A66&gt;C$3,0,C129*$C$7)</f>
        <v>0</v>
      </c>
      <c r="D255" s="4">
        <f t="shared" si="439"/>
        <v>0</v>
      </c>
      <c r="E255" s="4">
        <f t="shared" si="439"/>
        <v>0</v>
      </c>
      <c r="F255" s="4">
        <f t="shared" si="439"/>
        <v>0</v>
      </c>
      <c r="G255" s="4">
        <f t="shared" si="439"/>
        <v>1.6900508013614233</v>
      </c>
      <c r="H255" s="4">
        <f t="shared" si="439"/>
        <v>4.2341352880559091</v>
      </c>
      <c r="I255" s="4">
        <f t="shared" si="439"/>
        <v>5.9280721834839527</v>
      </c>
      <c r="J255" s="4">
        <f t="shared" si="439"/>
        <v>8.0407355402187868</v>
      </c>
      <c r="K255" s="4">
        <f t="shared" ref="K255:S255" si="440">IF($A66&gt;K$3,0,K129*$C$7)</f>
        <v>10.140780052990191</v>
      </c>
      <c r="L255" s="4">
        <f t="shared" si="440"/>
        <v>0</v>
      </c>
      <c r="M255" s="4">
        <f t="shared" si="440"/>
        <v>0</v>
      </c>
      <c r="N255" s="4">
        <f t="shared" si="440"/>
        <v>0</v>
      </c>
      <c r="O255" s="4">
        <f t="shared" si="440"/>
        <v>0</v>
      </c>
      <c r="P255" s="4">
        <f t="shared" si="440"/>
        <v>1.1195380162647499</v>
      </c>
      <c r="Q255" s="4">
        <f t="shared" si="440"/>
        <v>3.6226991108792221</v>
      </c>
      <c r="R255" s="4">
        <f t="shared" si="440"/>
        <v>5.2872933732990113</v>
      </c>
      <c r="S255" s="4">
        <f t="shared" si="440"/>
        <v>7.361128060134579</v>
      </c>
      <c r="T255" s="4">
        <f t="shared" ref="T255:U255" si="441">IF($A66&gt;T$3,0,T129*$C$7)</f>
        <v>9.4139768488961142</v>
      </c>
      <c r="U255" s="4">
        <f t="shared" si="441"/>
        <v>3.0857751843531518</v>
      </c>
    </row>
    <row r="256" spans="1:21" x14ac:dyDescent="0.3">
      <c r="A256">
        <f t="shared" si="420"/>
        <v>12</v>
      </c>
      <c r="B256" s="1">
        <f>VLOOKUP(A256,dates!A:B,2,0)</f>
        <v>45292</v>
      </c>
      <c r="C256" s="4">
        <f t="shared" si="439"/>
        <v>0</v>
      </c>
      <c r="D256" s="4">
        <f t="shared" si="439"/>
        <v>0</v>
      </c>
      <c r="E256" s="4">
        <f t="shared" si="439"/>
        <v>0</v>
      </c>
      <c r="F256" s="4">
        <f t="shared" si="439"/>
        <v>0</v>
      </c>
      <c r="G256" s="4">
        <f t="shared" si="439"/>
        <v>0.33699578838123145</v>
      </c>
      <c r="H256" s="4">
        <f t="shared" si="439"/>
        <v>3.1397053244124349</v>
      </c>
      <c r="I256" s="4">
        <f t="shared" si="439"/>
        <v>5.0058434637239229</v>
      </c>
      <c r="J256" s="4">
        <f t="shared" si="439"/>
        <v>7.3332747134768628</v>
      </c>
      <c r="K256" s="4">
        <f t="shared" ref="K256:S256" si="442">IF($A67&gt;K$3,0,K130*$C$7)</f>
        <v>9.6468043202242502</v>
      </c>
      <c r="L256" s="4">
        <f t="shared" si="442"/>
        <v>0</v>
      </c>
      <c r="M256" s="4">
        <f t="shared" si="442"/>
        <v>0</v>
      </c>
      <c r="N256" s="4">
        <f t="shared" si="442"/>
        <v>0</v>
      </c>
      <c r="O256" s="4">
        <f t="shared" si="442"/>
        <v>0</v>
      </c>
      <c r="P256" s="4">
        <f t="shared" si="442"/>
        <v>-0.29151385097265481</v>
      </c>
      <c r="Q256" s="4">
        <f t="shared" si="442"/>
        <v>2.4661121267768742</v>
      </c>
      <c r="R256" s="4">
        <f t="shared" si="442"/>
        <v>4.2999247368952043</v>
      </c>
      <c r="S256" s="4">
        <f t="shared" si="442"/>
        <v>6.5845800945866833</v>
      </c>
      <c r="T256" s="4">
        <f t="shared" ref="T256:U256" si="443">IF($A67&gt;T$3,0,T130*$C$7)</f>
        <v>8.846116182080225</v>
      </c>
      <c r="U256" s="4">
        <f t="shared" si="443"/>
        <v>1.8746059024874571</v>
      </c>
    </row>
    <row r="257" spans="1:21" x14ac:dyDescent="0.3">
      <c r="A257">
        <f t="shared" si="420"/>
        <v>13</v>
      </c>
      <c r="B257" s="1">
        <f>VLOOKUP(A257,dates!A:B,2,0)</f>
        <v>45323</v>
      </c>
      <c r="C257" s="4">
        <f t="shared" si="439"/>
        <v>0</v>
      </c>
      <c r="D257" s="4">
        <f t="shared" si="439"/>
        <v>0</v>
      </c>
      <c r="E257" s="4">
        <f t="shared" si="439"/>
        <v>0</v>
      </c>
      <c r="F257" s="4">
        <f t="shared" si="439"/>
        <v>0</v>
      </c>
      <c r="G257" s="4">
        <f t="shared" si="439"/>
        <v>0</v>
      </c>
      <c r="H257" s="4">
        <f t="shared" si="439"/>
        <v>2.0419920708780306</v>
      </c>
      <c r="I257" s="4">
        <f t="shared" si="439"/>
        <v>4.080848057804614</v>
      </c>
      <c r="J257" s="4">
        <f t="shared" si="439"/>
        <v>6.6236915042547126</v>
      </c>
      <c r="K257" s="4">
        <f t="shared" ref="K257:S257" si="444">IF($A68&gt;K$3,0,K131*$C$7)</f>
        <v>9.1513466602600086</v>
      </c>
      <c r="L257" s="4">
        <f t="shared" si="444"/>
        <v>0</v>
      </c>
      <c r="M257" s="4">
        <f t="shared" si="444"/>
        <v>0</v>
      </c>
      <c r="N257" s="4">
        <f t="shared" si="444"/>
        <v>0</v>
      </c>
      <c r="O257" s="4">
        <f t="shared" si="444"/>
        <v>0</v>
      </c>
      <c r="P257" s="4">
        <f t="shared" si="444"/>
        <v>0</v>
      </c>
      <c r="Q257" s="4">
        <f t="shared" si="444"/>
        <v>1.3060553817222187</v>
      </c>
      <c r="R257" s="4">
        <f t="shared" si="444"/>
        <v>3.3095939945821864</v>
      </c>
      <c r="S257" s="4">
        <f t="shared" si="444"/>
        <v>5.8057024851421444</v>
      </c>
      <c r="T257" s="4">
        <f t="shared" ref="T257:U257" si="445">IF($A68&gt;T$3,0,T131*$C$7)</f>
        <v>8.2765519332638871</v>
      </c>
      <c r="U257" s="4">
        <f t="shared" si="445"/>
        <v>0.65980311277616499</v>
      </c>
    </row>
    <row r="258" spans="1:21" x14ac:dyDescent="0.3">
      <c r="A258">
        <f t="shared" si="420"/>
        <v>14</v>
      </c>
      <c r="B258" s="1">
        <f>VLOOKUP(A258,dates!A:B,2,0)</f>
        <v>45352</v>
      </c>
      <c r="C258" s="4">
        <f t="shared" si="439"/>
        <v>0</v>
      </c>
      <c r="D258" s="4">
        <f t="shared" si="439"/>
        <v>0</v>
      </c>
      <c r="E258" s="4">
        <f t="shared" si="439"/>
        <v>0</v>
      </c>
      <c r="F258" s="4">
        <f t="shared" si="439"/>
        <v>0</v>
      </c>
      <c r="G258" s="4">
        <f t="shared" si="439"/>
        <v>0</v>
      </c>
      <c r="H258" s="4">
        <f t="shared" si="439"/>
        <v>0.94098567758302321</v>
      </c>
      <c r="I258" s="4">
        <f t="shared" si="439"/>
        <v>3.1530776656675461</v>
      </c>
      <c r="J258" s="4">
        <f t="shared" si="439"/>
        <v>5.9119795454048978</v>
      </c>
      <c r="K258" s="4">
        <f t="shared" ref="K258:S258" si="446">IF($A69&gt;K$3,0,K132*$C$7)</f>
        <v>8.654402627315875</v>
      </c>
      <c r="L258" s="4">
        <f t="shared" si="446"/>
        <v>0</v>
      </c>
      <c r="M258" s="4">
        <f t="shared" si="446"/>
        <v>0</v>
      </c>
      <c r="N258" s="4">
        <f t="shared" si="446"/>
        <v>0</v>
      </c>
      <c r="O258" s="4">
        <f t="shared" si="446"/>
        <v>0</v>
      </c>
      <c r="P258" s="4">
        <f t="shared" si="446"/>
        <v>0</v>
      </c>
      <c r="Q258" s="4">
        <f t="shared" si="446"/>
        <v>0.14251846643239902</v>
      </c>
      <c r="R258" s="4">
        <f t="shared" si="446"/>
        <v>2.3162922600422293</v>
      </c>
      <c r="S258" s="4">
        <f t="shared" si="446"/>
        <v>5.0244882428692721</v>
      </c>
      <c r="T258" s="4">
        <f t="shared" ref="T258:U258" si="447">IF($A69&gt;T$3,0,T132*$C$7)</f>
        <v>7.7052789917010998</v>
      </c>
      <c r="U258" s="4">
        <f t="shared" si="447"/>
        <v>-0.5586440853042608</v>
      </c>
    </row>
    <row r="259" spans="1:21" x14ac:dyDescent="0.3">
      <c r="A259">
        <f t="shared" si="420"/>
        <v>15</v>
      </c>
      <c r="B259" s="1">
        <f>VLOOKUP(A259,dates!A:B,2,0)</f>
        <v>45383</v>
      </c>
      <c r="C259" s="4">
        <f t="shared" si="439"/>
        <v>0</v>
      </c>
      <c r="D259" s="4">
        <f t="shared" si="439"/>
        <v>0</v>
      </c>
      <c r="E259" s="4">
        <f t="shared" si="439"/>
        <v>0</v>
      </c>
      <c r="F259" s="4">
        <f t="shared" si="439"/>
        <v>0</v>
      </c>
      <c r="G259" s="4">
        <f t="shared" si="439"/>
        <v>0</v>
      </c>
      <c r="H259" s="4">
        <f t="shared" si="439"/>
        <v>-0.1633237348918691</v>
      </c>
      <c r="I259" s="4">
        <f t="shared" si="439"/>
        <v>2.2225239623540674</v>
      </c>
      <c r="J259" s="4">
        <f t="shared" si="439"/>
        <v>5.1981324506785311</v>
      </c>
      <c r="K259" s="4">
        <f t="shared" ref="K259:S259" si="448">IF($A70&gt;K$3,0,K133*$C$7)</f>
        <v>8.1559677622729101</v>
      </c>
      <c r="L259" s="4">
        <f t="shared" si="448"/>
        <v>0</v>
      </c>
      <c r="M259" s="4">
        <f t="shared" si="448"/>
        <v>0</v>
      </c>
      <c r="N259" s="4">
        <f t="shared" si="448"/>
        <v>0</v>
      </c>
      <c r="O259" s="4">
        <f t="shared" si="448"/>
        <v>0</v>
      </c>
      <c r="P259" s="4">
        <f t="shared" si="448"/>
        <v>0</v>
      </c>
      <c r="Q259" s="4">
        <f t="shared" si="448"/>
        <v>-1.02450905960329</v>
      </c>
      <c r="R259" s="4">
        <f t="shared" si="448"/>
        <v>1.320010620298653</v>
      </c>
      <c r="S259" s="4">
        <f t="shared" si="448"/>
        <v>4.2409303578695807</v>
      </c>
      <c r="T259" s="4">
        <f t="shared" ref="T259:U259" si="449">IF($A70&gt;T$3,0,T133*$C$7)</f>
        <v>7.1322922313136248</v>
      </c>
      <c r="U259" s="4">
        <f t="shared" si="449"/>
        <v>-1.7807466249789285</v>
      </c>
    </row>
    <row r="260" spans="1:21" x14ac:dyDescent="0.3">
      <c r="A260">
        <f t="shared" si="420"/>
        <v>16</v>
      </c>
      <c r="B260" s="1">
        <f>VLOOKUP(A260,dates!A:B,2,0)</f>
        <v>45413</v>
      </c>
      <c r="C260" s="4">
        <f t="shared" si="439"/>
        <v>0</v>
      </c>
      <c r="D260" s="4">
        <f t="shared" si="439"/>
        <v>0</v>
      </c>
      <c r="E260" s="4">
        <f t="shared" si="439"/>
        <v>0</v>
      </c>
      <c r="F260" s="4">
        <f t="shared" si="439"/>
        <v>0</v>
      </c>
      <c r="G260" s="4">
        <f t="shared" si="439"/>
        <v>0</v>
      </c>
      <c r="H260" s="4">
        <f t="shared" si="439"/>
        <v>0</v>
      </c>
      <c r="I260" s="4">
        <f t="shared" si="439"/>
        <v>1.289178597930648</v>
      </c>
      <c r="J260" s="4">
        <f t="shared" si="439"/>
        <v>4.4821438146679862</v>
      </c>
      <c r="K260" s="4">
        <f t="shared" ref="K260:S260" si="450">IF($A71&gt;K$3,0,K134*$C$7)</f>
        <v>7.6560375926348145</v>
      </c>
      <c r="L260" s="4">
        <f t="shared" si="450"/>
        <v>0</v>
      </c>
      <c r="M260" s="4">
        <f t="shared" si="450"/>
        <v>0</v>
      </c>
      <c r="N260" s="4">
        <f t="shared" si="450"/>
        <v>0</v>
      </c>
      <c r="O260" s="4">
        <f t="shared" si="450"/>
        <v>0</v>
      </c>
      <c r="P260" s="4">
        <f t="shared" si="450"/>
        <v>0</v>
      </c>
      <c r="Q260" s="4">
        <f t="shared" si="450"/>
        <v>0</v>
      </c>
      <c r="R260" s="4">
        <f t="shared" si="450"/>
        <v>0.32074013563584547</v>
      </c>
      <c r="S260" s="4">
        <f t="shared" si="450"/>
        <v>3.4550217992148897</v>
      </c>
      <c r="T260" s="4">
        <f t="shared" ref="T260:U260" si="451">IF($A71&gt;T$3,0,T134*$C$7)</f>
        <v>6.5575865106449873</v>
      </c>
      <c r="U260" s="4">
        <f t="shared" si="451"/>
        <v>0</v>
      </c>
    </row>
    <row r="261" spans="1:21" x14ac:dyDescent="0.3">
      <c r="A261">
        <f t="shared" si="420"/>
        <v>17</v>
      </c>
      <c r="B261" s="1">
        <f>VLOOKUP(A261,dates!A:B,2,0)</f>
        <v>45444</v>
      </c>
      <c r="C261" s="4">
        <f t="shared" si="439"/>
        <v>0</v>
      </c>
      <c r="D261" s="4">
        <f t="shared" si="439"/>
        <v>0</v>
      </c>
      <c r="E261" s="4">
        <f t="shared" si="439"/>
        <v>0</v>
      </c>
      <c r="F261" s="4">
        <f t="shared" si="439"/>
        <v>0</v>
      </c>
      <c r="G261" s="4">
        <f t="shared" si="439"/>
        <v>0</v>
      </c>
      <c r="H261" s="4">
        <f t="shared" si="439"/>
        <v>0</v>
      </c>
      <c r="I261" s="4">
        <f t="shared" si="439"/>
        <v>0.35303319741395872</v>
      </c>
      <c r="J261" s="4">
        <f t="shared" si="439"/>
        <v>3.7640072127494095</v>
      </c>
      <c r="K261" s="4">
        <f t="shared" ref="K261:S261" si="452">IF($A72&gt;K$3,0,K135*$C$7)</f>
        <v>7.1546076324878065</v>
      </c>
      <c r="L261" s="4">
        <f t="shared" si="452"/>
        <v>0</v>
      </c>
      <c r="M261" s="4">
        <f t="shared" si="452"/>
        <v>0</v>
      </c>
      <c r="N261" s="4">
        <f t="shared" si="452"/>
        <v>0</v>
      </c>
      <c r="O261" s="4">
        <f t="shared" si="452"/>
        <v>0</v>
      </c>
      <c r="P261" s="4">
        <f t="shared" si="452"/>
        <v>0</v>
      </c>
      <c r="Q261" s="4">
        <f t="shared" si="452"/>
        <v>0</v>
      </c>
      <c r="R261" s="4">
        <f t="shared" si="452"/>
        <v>-0.68152816048095011</v>
      </c>
      <c r="S261" s="4">
        <f t="shared" si="452"/>
        <v>2.6667555148842355</v>
      </c>
      <c r="T261" s="4">
        <f t="shared" ref="T261:U261" si="453">IF($A72&gt;T$3,0,T135*$C$7)</f>
        <v>5.9811566728143433</v>
      </c>
      <c r="U261" s="4">
        <f t="shared" si="453"/>
        <v>0</v>
      </c>
    </row>
    <row r="262" spans="1:21" x14ac:dyDescent="0.3">
      <c r="A262">
        <f t="shared" si="420"/>
        <v>18</v>
      </c>
      <c r="B262" s="1">
        <f>VLOOKUP(A262,dates!A:B,2,0)</f>
        <v>45474</v>
      </c>
      <c r="C262" s="4">
        <f t="shared" si="439"/>
        <v>0</v>
      </c>
      <c r="D262" s="4">
        <f t="shared" si="439"/>
        <v>0</v>
      </c>
      <c r="E262" s="4">
        <f t="shared" si="439"/>
        <v>0</v>
      </c>
      <c r="F262" s="4">
        <f t="shared" si="439"/>
        <v>0</v>
      </c>
      <c r="G262" s="4">
        <f t="shared" si="439"/>
        <v>0</v>
      </c>
      <c r="H262" s="4">
        <f t="shared" si="439"/>
        <v>0</v>
      </c>
      <c r="I262" s="4">
        <f t="shared" si="439"/>
        <v>-0.58592063930428062</v>
      </c>
      <c r="J262" s="4">
        <f t="shared" si="439"/>
        <v>3.0437162010250769</v>
      </c>
      <c r="K262" s="4">
        <f t="shared" ref="K262:S262" si="454">IF($A73&gt;K$3,0,K136*$C$7)</f>
        <v>6.6516733824603564</v>
      </c>
      <c r="L262" s="4">
        <f t="shared" si="454"/>
        <v>0</v>
      </c>
      <c r="M262" s="4">
        <f t="shared" si="454"/>
        <v>0</v>
      </c>
      <c r="N262" s="4">
        <f t="shared" si="454"/>
        <v>0</v>
      </c>
      <c r="O262" s="4">
        <f t="shared" si="454"/>
        <v>0</v>
      </c>
      <c r="P262" s="4">
        <f t="shared" si="454"/>
        <v>0</v>
      </c>
      <c r="Q262" s="4">
        <f t="shared" si="454"/>
        <v>0</v>
      </c>
      <c r="R262" s="4">
        <f t="shared" si="454"/>
        <v>-1.6868032614860964</v>
      </c>
      <c r="S262" s="4">
        <f t="shared" si="454"/>
        <v>1.8761244317005892</v>
      </c>
      <c r="T262" s="4">
        <f t="shared" ref="T262:U262" si="455">IF($A73&gt;T$3,0,T136*$C$7)</f>
        <v>5.4029975454702077</v>
      </c>
      <c r="U262" s="4">
        <f t="shared" si="455"/>
        <v>0</v>
      </c>
    </row>
    <row r="263" spans="1:21" x14ac:dyDescent="0.3">
      <c r="A263">
        <f t="shared" si="420"/>
        <v>19</v>
      </c>
      <c r="B263" s="1">
        <f>VLOOKUP(A263,dates!A:B,2,0)</f>
        <v>45505</v>
      </c>
      <c r="C263" s="4">
        <f t="shared" si="439"/>
        <v>0</v>
      </c>
      <c r="D263" s="4">
        <f t="shared" si="439"/>
        <v>0</v>
      </c>
      <c r="E263" s="4">
        <f t="shared" si="439"/>
        <v>0</v>
      </c>
      <c r="F263" s="4">
        <f t="shared" si="439"/>
        <v>0</v>
      </c>
      <c r="G263" s="4">
        <f t="shared" si="439"/>
        <v>0</v>
      </c>
      <c r="H263" s="4">
        <f t="shared" si="439"/>
        <v>0</v>
      </c>
      <c r="I263" s="4">
        <f t="shared" si="439"/>
        <v>0</v>
      </c>
      <c r="J263" s="4">
        <f t="shared" si="439"/>
        <v>2.3212643162655717</v>
      </c>
      <c r="K263" s="4">
        <f t="shared" ref="K263:S263" si="456">IF($A74&gt;K$3,0,K137*$C$7)</f>
        <v>6.1472303296828246</v>
      </c>
      <c r="L263" s="4">
        <f t="shared" si="456"/>
        <v>0</v>
      </c>
      <c r="M263" s="4">
        <f t="shared" si="456"/>
        <v>0</v>
      </c>
      <c r="N263" s="4">
        <f t="shared" si="456"/>
        <v>0</v>
      </c>
      <c r="O263" s="4">
        <f t="shared" si="456"/>
        <v>0</v>
      </c>
      <c r="P263" s="4">
        <f t="shared" si="456"/>
        <v>0</v>
      </c>
      <c r="Q263" s="4">
        <f t="shared" si="456"/>
        <v>0</v>
      </c>
      <c r="R263" s="4">
        <f t="shared" si="456"/>
        <v>0</v>
      </c>
      <c r="S263" s="4">
        <f t="shared" si="456"/>
        <v>1.083121455267392</v>
      </c>
      <c r="T263" s="4">
        <f t="shared" ref="T263:U263" si="457">IF($A74&gt;T$3,0,T137*$C$7)</f>
        <v>4.8231039407440397</v>
      </c>
      <c r="U263" s="4">
        <f t="shared" si="457"/>
        <v>0</v>
      </c>
    </row>
    <row r="264" spans="1:21" x14ac:dyDescent="0.3">
      <c r="A264">
        <f t="shared" si="420"/>
        <v>20</v>
      </c>
      <c r="B264" s="1">
        <f>VLOOKUP(A264,dates!A:B,2,0)</f>
        <v>45536</v>
      </c>
      <c r="C264" s="4">
        <f t="shared" si="439"/>
        <v>0</v>
      </c>
      <c r="D264" s="4">
        <f t="shared" si="439"/>
        <v>0</v>
      </c>
      <c r="E264" s="4">
        <f t="shared" si="439"/>
        <v>0</v>
      </c>
      <c r="F264" s="4">
        <f t="shared" si="439"/>
        <v>0</v>
      </c>
      <c r="G264" s="4">
        <f t="shared" si="439"/>
        <v>0</v>
      </c>
      <c r="H264" s="4">
        <f t="shared" si="439"/>
        <v>0</v>
      </c>
      <c r="I264" s="4">
        <f t="shared" si="439"/>
        <v>0</v>
      </c>
      <c r="J264" s="4">
        <f t="shared" si="439"/>
        <v>1.5966450758517876</v>
      </c>
      <c r="K264" s="4">
        <f t="shared" ref="K264:S264" si="458">IF($A75&gt;K$3,0,K138*$C$7)</f>
        <v>5.64127394774696</v>
      </c>
      <c r="L264" s="4">
        <f t="shared" si="458"/>
        <v>0</v>
      </c>
      <c r="M264" s="4">
        <f t="shared" si="458"/>
        <v>0</v>
      </c>
      <c r="N264" s="4">
        <f t="shared" si="458"/>
        <v>0</v>
      </c>
      <c r="O264" s="4">
        <f t="shared" si="458"/>
        <v>0</v>
      </c>
      <c r="P264" s="4">
        <f t="shared" si="458"/>
        <v>0</v>
      </c>
      <c r="Q264" s="4">
        <f t="shared" si="458"/>
        <v>0</v>
      </c>
      <c r="R264" s="4">
        <f t="shared" si="458"/>
        <v>0</v>
      </c>
      <c r="S264" s="4">
        <f t="shared" si="458"/>
        <v>0.2877394699048948</v>
      </c>
      <c r="T264" s="4">
        <f t="shared" ref="T264:U264" si="459">IF($A75&gt;T$3,0,T138*$C$7)</f>
        <v>4.2414706552036936</v>
      </c>
      <c r="U264" s="4">
        <f t="shared" si="459"/>
        <v>0</v>
      </c>
    </row>
    <row r="265" spans="1:21" x14ac:dyDescent="0.3">
      <c r="A265">
        <f t="shared" si="420"/>
        <v>21</v>
      </c>
      <c r="B265" s="1">
        <f>VLOOKUP(A265,dates!A:B,2,0)</f>
        <v>45566</v>
      </c>
      <c r="C265" s="4">
        <f t="shared" ref="C265:J274" si="460">IF($A76&gt;C$3,0,C139*$C$7)</f>
        <v>0</v>
      </c>
      <c r="D265" s="4">
        <f t="shared" si="460"/>
        <v>0</v>
      </c>
      <c r="E265" s="4">
        <f t="shared" si="460"/>
        <v>0</v>
      </c>
      <c r="F265" s="4">
        <f t="shared" si="460"/>
        <v>0</v>
      </c>
      <c r="G265" s="4">
        <f t="shared" si="460"/>
        <v>0</v>
      </c>
      <c r="H265" s="4">
        <f t="shared" si="460"/>
        <v>0</v>
      </c>
      <c r="I265" s="4">
        <f t="shared" si="460"/>
        <v>0</v>
      </c>
      <c r="J265" s="4">
        <f t="shared" si="460"/>
        <v>0.86985197771676226</v>
      </c>
      <c r="K265" s="4">
        <f t="shared" ref="K265:S265" si="461">IF($A76&gt;K$3,0,K139*$C$7)</f>
        <v>5.1337996966652879</v>
      </c>
      <c r="L265" s="4">
        <f t="shared" si="461"/>
        <v>0</v>
      </c>
      <c r="M265" s="4">
        <f t="shared" si="461"/>
        <v>0</v>
      </c>
      <c r="N265" s="4">
        <f t="shared" si="461"/>
        <v>0</v>
      </c>
      <c r="O265" s="4">
        <f t="shared" si="461"/>
        <v>0</v>
      </c>
      <c r="P265" s="4">
        <f t="shared" si="461"/>
        <v>0</v>
      </c>
      <c r="Q265" s="4">
        <f t="shared" si="461"/>
        <v>0</v>
      </c>
      <c r="R265" s="4">
        <f t="shared" si="461"/>
        <v>0</v>
      </c>
      <c r="S265" s="4">
        <f t="shared" si="461"/>
        <v>-0.51002866141368974</v>
      </c>
      <c r="T265" s="4">
        <f t="shared" ref="T265:U265" si="462">IF($A76&gt;T$3,0,T139*$C$7)</f>
        <v>3.6580924698067268</v>
      </c>
      <c r="U265" s="4">
        <f t="shared" si="462"/>
        <v>0</v>
      </c>
    </row>
    <row r="266" spans="1:21" x14ac:dyDescent="0.3">
      <c r="A266">
        <f t="shared" si="420"/>
        <v>22</v>
      </c>
      <c r="B266" s="1">
        <f>VLOOKUP(A266,dates!A:B,2,0)</f>
        <v>45597</v>
      </c>
      <c r="C266" s="4">
        <f t="shared" si="460"/>
        <v>0</v>
      </c>
      <c r="D266" s="4">
        <f t="shared" si="460"/>
        <v>0</v>
      </c>
      <c r="E266" s="4">
        <f t="shared" si="460"/>
        <v>0</v>
      </c>
      <c r="F266" s="4">
        <f t="shared" si="460"/>
        <v>0</v>
      </c>
      <c r="G266" s="4">
        <f t="shared" si="460"/>
        <v>0</v>
      </c>
      <c r="H266" s="4">
        <f t="shared" si="460"/>
        <v>0</v>
      </c>
      <c r="I266" s="4">
        <f t="shared" si="460"/>
        <v>0</v>
      </c>
      <c r="J266" s="4">
        <f t="shared" si="460"/>
        <v>0.14087850028733187</v>
      </c>
      <c r="K266" s="4">
        <f t="shared" ref="K266:S266" si="463">IF($A77&gt;K$3,0,K140*$C$7)</f>
        <v>4.6248030228303696</v>
      </c>
      <c r="L266" s="4">
        <f t="shared" si="463"/>
        <v>0</v>
      </c>
      <c r="M266" s="4">
        <f t="shared" si="463"/>
        <v>0</v>
      </c>
      <c r="N266" s="4">
        <f t="shared" si="463"/>
        <v>0</v>
      </c>
      <c r="O266" s="4">
        <f t="shared" si="463"/>
        <v>0</v>
      </c>
      <c r="P266" s="4">
        <f t="shared" si="463"/>
        <v>0</v>
      </c>
      <c r="Q266" s="4">
        <f t="shared" si="463"/>
        <v>0</v>
      </c>
      <c r="R266" s="4">
        <f t="shared" si="463"/>
        <v>0</v>
      </c>
      <c r="S266" s="4">
        <f t="shared" si="463"/>
        <v>-1.3101900971262299</v>
      </c>
      <c r="T266" s="4">
        <f t="shared" ref="T266:U266" si="464">IF($A77&gt;T$3,0,T140*$C$7)</f>
        <v>3.0729641498535685</v>
      </c>
      <c r="U266" s="4">
        <f t="shared" si="464"/>
        <v>0</v>
      </c>
    </row>
    <row r="267" spans="1:21" x14ac:dyDescent="0.3">
      <c r="A267">
        <f t="shared" si="420"/>
        <v>23</v>
      </c>
      <c r="B267" s="1">
        <f>VLOOKUP(A267,dates!A:B,2,0)</f>
        <v>45627</v>
      </c>
      <c r="C267" s="4">
        <f t="shared" si="460"/>
        <v>0</v>
      </c>
      <c r="D267" s="4">
        <f t="shared" si="460"/>
        <v>0</v>
      </c>
      <c r="E267" s="4">
        <f t="shared" si="460"/>
        <v>0</v>
      </c>
      <c r="F267" s="4">
        <f t="shared" si="460"/>
        <v>0</v>
      </c>
      <c r="G267" s="4">
        <f t="shared" si="460"/>
        <v>0</v>
      </c>
      <c r="H267" s="4">
        <f t="shared" si="460"/>
        <v>0</v>
      </c>
      <c r="I267" s="4">
        <f t="shared" si="460"/>
        <v>0</v>
      </c>
      <c r="J267" s="4">
        <f t="shared" si="460"/>
        <v>-0.59028189757438676</v>
      </c>
      <c r="K267" s="4">
        <f t="shared" ref="K267:S267" si="465">IF($A78&gt;K$3,0,K141*$C$7)</f>
        <v>4.1142793589739481</v>
      </c>
      <c r="L267" s="4">
        <f t="shared" si="465"/>
        <v>0</v>
      </c>
      <c r="M267" s="4">
        <f t="shared" si="465"/>
        <v>0</v>
      </c>
      <c r="N267" s="4">
        <f t="shared" si="465"/>
        <v>0</v>
      </c>
      <c r="O267" s="4">
        <f t="shared" si="465"/>
        <v>0</v>
      </c>
      <c r="P267" s="4">
        <f t="shared" si="465"/>
        <v>0</v>
      </c>
      <c r="Q267" s="4">
        <f t="shared" si="465"/>
        <v>0</v>
      </c>
      <c r="R267" s="4">
        <f t="shared" si="465"/>
        <v>0</v>
      </c>
      <c r="S267" s="4">
        <f t="shared" si="465"/>
        <v>-2.1127520171459078</v>
      </c>
      <c r="T267" s="4">
        <f t="shared" ref="T267:U267" si="466">IF($A78&gt;T$3,0,T141*$C$7)</f>
        <v>2.4860804449405509</v>
      </c>
      <c r="U267" s="4">
        <f t="shared" si="466"/>
        <v>0</v>
      </c>
    </row>
    <row r="268" spans="1:21" x14ac:dyDescent="0.3">
      <c r="A268">
        <f t="shared" si="420"/>
        <v>24</v>
      </c>
      <c r="B268" s="1">
        <f>VLOOKUP(A268,dates!A:B,2,0)</f>
        <v>45658</v>
      </c>
      <c r="C268" s="4">
        <f t="shared" si="460"/>
        <v>0</v>
      </c>
      <c r="D268" s="4">
        <f t="shared" si="460"/>
        <v>0</v>
      </c>
      <c r="E268" s="4">
        <f t="shared" si="460"/>
        <v>0</v>
      </c>
      <c r="F268" s="4">
        <f t="shared" si="460"/>
        <v>0</v>
      </c>
      <c r="G268" s="4">
        <f t="shared" si="460"/>
        <v>0</v>
      </c>
      <c r="H268" s="4">
        <f t="shared" si="460"/>
        <v>0</v>
      </c>
      <c r="I268" s="4">
        <f t="shared" si="460"/>
        <v>0</v>
      </c>
      <c r="J268" s="4">
        <f t="shared" si="460"/>
        <v>-1.3236357766296907</v>
      </c>
      <c r="K268" s="4">
        <f t="shared" ref="K268:S268" si="467">IF($A79&gt;K$3,0,K142*$C$7)</f>
        <v>3.6022241241259558</v>
      </c>
      <c r="L268" s="4">
        <f t="shared" si="467"/>
        <v>0</v>
      </c>
      <c r="M268" s="4">
        <f t="shared" si="467"/>
        <v>0</v>
      </c>
      <c r="N268" s="4">
        <f t="shared" si="467"/>
        <v>0</v>
      </c>
      <c r="O268" s="4">
        <f t="shared" si="467"/>
        <v>0</v>
      </c>
      <c r="P268" s="4">
        <f t="shared" si="467"/>
        <v>0</v>
      </c>
      <c r="Q268" s="4">
        <f t="shared" si="467"/>
        <v>0</v>
      </c>
      <c r="R268" s="4">
        <f t="shared" si="467"/>
        <v>0</v>
      </c>
      <c r="S268" s="4">
        <f t="shared" si="467"/>
        <v>-2.9177216229256446</v>
      </c>
      <c r="T268" s="4">
        <f t="shared" ref="T268:U268" si="468">IF($A79&gt;T$3,0,T142*$C$7)</f>
        <v>1.8974360889127946</v>
      </c>
      <c r="U268" s="4">
        <f t="shared" si="468"/>
        <v>0</v>
      </c>
    </row>
    <row r="269" spans="1:21" x14ac:dyDescent="0.3">
      <c r="A269">
        <f t="shared" si="420"/>
        <v>25</v>
      </c>
      <c r="B269" s="1">
        <f>VLOOKUP(A269,dates!A:B,2,0)</f>
        <v>45689</v>
      </c>
      <c r="C269" s="4">
        <f t="shared" si="460"/>
        <v>0</v>
      </c>
      <c r="D269" s="4">
        <f t="shared" si="460"/>
        <v>0</v>
      </c>
      <c r="E269" s="4">
        <f t="shared" si="460"/>
        <v>0</v>
      </c>
      <c r="F269" s="4">
        <f t="shared" si="460"/>
        <v>0</v>
      </c>
      <c r="G269" s="4">
        <f t="shared" si="460"/>
        <v>0</v>
      </c>
      <c r="H269" s="4">
        <f t="shared" si="460"/>
        <v>0</v>
      </c>
      <c r="I269" s="4">
        <f t="shared" si="460"/>
        <v>0</v>
      </c>
      <c r="J269" s="4">
        <f t="shared" si="460"/>
        <v>0</v>
      </c>
      <c r="K269" s="4">
        <f t="shared" ref="K269:S269" si="469">IF($A80&gt;K$3,0,K143*$C$7)</f>
        <v>3.0886327235734212</v>
      </c>
      <c r="L269" s="4">
        <f t="shared" si="469"/>
        <v>0</v>
      </c>
      <c r="M269" s="4">
        <f t="shared" si="469"/>
        <v>0</v>
      </c>
      <c r="N269" s="4">
        <f t="shared" si="469"/>
        <v>0</v>
      </c>
      <c r="O269" s="4">
        <f t="shared" si="469"/>
        <v>0</v>
      </c>
      <c r="P269" s="4">
        <f t="shared" si="469"/>
        <v>0</v>
      </c>
      <c r="Q269" s="4">
        <f t="shared" si="469"/>
        <v>0</v>
      </c>
      <c r="R269" s="4">
        <f t="shared" si="469"/>
        <v>0</v>
      </c>
      <c r="S269" s="4">
        <f t="shared" si="469"/>
        <v>0</v>
      </c>
      <c r="T269" s="4">
        <f t="shared" ref="T269:U269" si="470">IF($A80&gt;T$3,0,T143*$C$7)</f>
        <v>1.3070257998169548</v>
      </c>
      <c r="U269" s="4">
        <f t="shared" si="470"/>
        <v>0</v>
      </c>
    </row>
    <row r="270" spans="1:21" x14ac:dyDescent="0.3">
      <c r="A270">
        <f t="shared" si="420"/>
        <v>26</v>
      </c>
      <c r="B270" s="1">
        <f>VLOOKUP(A270,dates!A:B,2,0)</f>
        <v>45717</v>
      </c>
      <c r="C270" s="4">
        <f t="shared" si="460"/>
        <v>0</v>
      </c>
      <c r="D270" s="4">
        <f t="shared" si="460"/>
        <v>0</v>
      </c>
      <c r="E270" s="4">
        <f t="shared" si="460"/>
        <v>0</v>
      </c>
      <c r="F270" s="4">
        <f t="shared" si="460"/>
        <v>0</v>
      </c>
      <c r="G270" s="4">
        <f t="shared" si="460"/>
        <v>0</v>
      </c>
      <c r="H270" s="4">
        <f t="shared" si="460"/>
        <v>0</v>
      </c>
      <c r="I270" s="4">
        <f t="shared" si="460"/>
        <v>0</v>
      </c>
      <c r="J270" s="4">
        <f t="shared" si="460"/>
        <v>0</v>
      </c>
      <c r="K270" s="4">
        <f t="shared" ref="K270:S270" si="471">IF($A81&gt;K$3,0,K144*$C$7)</f>
        <v>2.5735005488192284</v>
      </c>
      <c r="L270" s="4">
        <f t="shared" si="471"/>
        <v>0</v>
      </c>
      <c r="M270" s="4">
        <f t="shared" si="471"/>
        <v>0</v>
      </c>
      <c r="N270" s="4">
        <f t="shared" si="471"/>
        <v>0</v>
      </c>
      <c r="O270" s="4">
        <f t="shared" si="471"/>
        <v>0</v>
      </c>
      <c r="P270" s="4">
        <f t="shared" si="471"/>
        <v>0</v>
      </c>
      <c r="Q270" s="4">
        <f t="shared" si="471"/>
        <v>0</v>
      </c>
      <c r="R270" s="4">
        <f t="shared" si="471"/>
        <v>0</v>
      </c>
      <c r="S270" s="4">
        <f t="shared" si="471"/>
        <v>0</v>
      </c>
      <c r="T270" s="4">
        <f t="shared" ref="T270:U270" si="472">IF($A81&gt;T$3,0,T144*$C$7)</f>
        <v>0.71484427985382715</v>
      </c>
      <c r="U270" s="4">
        <f t="shared" si="472"/>
        <v>0</v>
      </c>
    </row>
    <row r="271" spans="1:21" x14ac:dyDescent="0.3">
      <c r="A271">
        <f t="shared" si="420"/>
        <v>27</v>
      </c>
      <c r="B271" s="1">
        <f>VLOOKUP(A271,dates!A:B,2,0)</f>
        <v>45748</v>
      </c>
      <c r="C271" s="4">
        <f t="shared" si="460"/>
        <v>0</v>
      </c>
      <c r="D271" s="4">
        <f t="shared" si="460"/>
        <v>0</v>
      </c>
      <c r="E271" s="4">
        <f t="shared" si="460"/>
        <v>0</v>
      </c>
      <c r="F271" s="4">
        <f t="shared" si="460"/>
        <v>0</v>
      </c>
      <c r="G271" s="4">
        <f t="shared" si="460"/>
        <v>0</v>
      </c>
      <c r="H271" s="4">
        <f t="shared" si="460"/>
        <v>0</v>
      </c>
      <c r="I271" s="4">
        <f t="shared" si="460"/>
        <v>0</v>
      </c>
      <c r="J271" s="4">
        <f t="shared" si="460"/>
        <v>0</v>
      </c>
      <c r="K271" s="4">
        <f t="shared" ref="K271:S271" si="473">IF($A82&gt;K$3,0,K145*$C$7)</f>
        <v>2.0568229775407727</v>
      </c>
      <c r="L271" s="4">
        <f t="shared" si="473"/>
        <v>0</v>
      </c>
      <c r="M271" s="4">
        <f t="shared" si="473"/>
        <v>0</v>
      </c>
      <c r="N271" s="4">
        <f t="shared" si="473"/>
        <v>0</v>
      </c>
      <c r="O271" s="4">
        <f t="shared" si="473"/>
        <v>0</v>
      </c>
      <c r="P271" s="4">
        <f t="shared" si="473"/>
        <v>0</v>
      </c>
      <c r="Q271" s="4">
        <f t="shared" si="473"/>
        <v>0</v>
      </c>
      <c r="R271" s="4">
        <f t="shared" si="473"/>
        <v>0</v>
      </c>
      <c r="S271" s="4">
        <f t="shared" si="473"/>
        <v>0</v>
      </c>
      <c r="T271" s="4">
        <f t="shared" ref="T271:U271" si="474">IF($A82&gt;T$3,0,T145*$C$7)</f>
        <v>0.12088621533081033</v>
      </c>
      <c r="U271" s="4">
        <f t="shared" si="474"/>
        <v>0</v>
      </c>
    </row>
    <row r="272" spans="1:21" x14ac:dyDescent="0.3">
      <c r="A272">
        <f t="shared" si="420"/>
        <v>28</v>
      </c>
      <c r="B272" s="1">
        <f>VLOOKUP(A272,dates!A:B,2,0)</f>
        <v>45778</v>
      </c>
      <c r="C272" s="4">
        <f t="shared" si="460"/>
        <v>0</v>
      </c>
      <c r="D272" s="4">
        <f t="shared" si="460"/>
        <v>0</v>
      </c>
      <c r="E272" s="4">
        <f t="shared" si="460"/>
        <v>0</v>
      </c>
      <c r="F272" s="4">
        <f t="shared" si="460"/>
        <v>0</v>
      </c>
      <c r="G272" s="4">
        <f t="shared" si="460"/>
        <v>0</v>
      </c>
      <c r="H272" s="4">
        <f t="shared" si="460"/>
        <v>0</v>
      </c>
      <c r="I272" s="4">
        <f t="shared" si="460"/>
        <v>0</v>
      </c>
      <c r="J272" s="4">
        <f t="shared" si="460"/>
        <v>0</v>
      </c>
      <c r="K272" s="4">
        <f t="shared" ref="K272:S272" si="475">IF($A83&gt;K$3,0,K146*$C$7)</f>
        <v>1.5385953735484816</v>
      </c>
      <c r="L272" s="4">
        <f t="shared" si="475"/>
        <v>0</v>
      </c>
      <c r="M272" s="4">
        <f t="shared" si="475"/>
        <v>0</v>
      </c>
      <c r="N272" s="4">
        <f t="shared" si="475"/>
        <v>0</v>
      </c>
      <c r="O272" s="4">
        <f t="shared" si="475"/>
        <v>0</v>
      </c>
      <c r="P272" s="4">
        <f t="shared" si="475"/>
        <v>0</v>
      </c>
      <c r="Q272" s="4">
        <f t="shared" si="475"/>
        <v>0</v>
      </c>
      <c r="R272" s="4">
        <f t="shared" si="475"/>
        <v>0</v>
      </c>
      <c r="S272" s="4">
        <f t="shared" si="475"/>
        <v>0</v>
      </c>
      <c r="T272" s="4">
        <f t="shared" ref="T272:U272" si="476">IF($A83&gt;T$3,0,T146*$C$7)</f>
        <v>-0.47485372338577553</v>
      </c>
      <c r="U272" s="4">
        <f t="shared" si="476"/>
        <v>0</v>
      </c>
    </row>
    <row r="273" spans="1:21" x14ac:dyDescent="0.3">
      <c r="A273">
        <f t="shared" si="420"/>
        <v>29</v>
      </c>
      <c r="B273" s="1">
        <f>VLOOKUP(A273,dates!A:B,2,0)</f>
        <v>45809</v>
      </c>
      <c r="C273" s="4">
        <f t="shared" si="460"/>
        <v>0</v>
      </c>
      <c r="D273" s="4">
        <f t="shared" si="460"/>
        <v>0</v>
      </c>
      <c r="E273" s="4">
        <f t="shared" si="460"/>
        <v>0</v>
      </c>
      <c r="F273" s="4">
        <f t="shared" si="460"/>
        <v>0</v>
      </c>
      <c r="G273" s="4">
        <f t="shared" si="460"/>
        <v>0</v>
      </c>
      <c r="H273" s="4">
        <f t="shared" si="460"/>
        <v>0</v>
      </c>
      <c r="I273" s="4">
        <f t="shared" si="460"/>
        <v>0</v>
      </c>
      <c r="J273" s="4">
        <f t="shared" si="460"/>
        <v>0</v>
      </c>
      <c r="K273" s="4">
        <f t="shared" ref="K273:S273" si="477">IF($A84&gt;K$3,0,K147*$C$7)</f>
        <v>1.018813086744214</v>
      </c>
      <c r="L273" s="4">
        <f t="shared" si="477"/>
        <v>0</v>
      </c>
      <c r="M273" s="4">
        <f t="shared" si="477"/>
        <v>0</v>
      </c>
      <c r="N273" s="4">
        <f t="shared" si="477"/>
        <v>0</v>
      </c>
      <c r="O273" s="4">
        <f t="shared" si="477"/>
        <v>0</v>
      </c>
      <c r="P273" s="4">
        <f t="shared" si="477"/>
        <v>0</v>
      </c>
      <c r="Q273" s="4">
        <f t="shared" si="477"/>
        <v>0</v>
      </c>
      <c r="R273" s="4">
        <f t="shared" si="477"/>
        <v>0</v>
      </c>
      <c r="S273" s="4">
        <f t="shared" si="477"/>
        <v>0</v>
      </c>
      <c r="T273" s="4">
        <f t="shared" ref="T273:U273" si="478">IF($A84&gt;T$3,0,T147*$C$7)</f>
        <v>-1.0723808819185112</v>
      </c>
      <c r="U273" s="4">
        <f t="shared" si="478"/>
        <v>0</v>
      </c>
    </row>
    <row r="274" spans="1:21" x14ac:dyDescent="0.3">
      <c r="A274">
        <f t="shared" si="420"/>
        <v>30</v>
      </c>
      <c r="B274" s="1">
        <f>VLOOKUP(A274,dates!A:B,2,0)</f>
        <v>45839</v>
      </c>
      <c r="C274" s="4">
        <f t="shared" si="460"/>
        <v>0</v>
      </c>
      <c r="D274" s="4">
        <f t="shared" si="460"/>
        <v>0</v>
      </c>
      <c r="E274" s="4">
        <f t="shared" si="460"/>
        <v>0</v>
      </c>
      <c r="F274" s="4">
        <f t="shared" si="460"/>
        <v>0</v>
      </c>
      <c r="G274" s="4">
        <f t="shared" si="460"/>
        <v>0</v>
      </c>
      <c r="H274" s="4">
        <f t="shared" si="460"/>
        <v>0</v>
      </c>
      <c r="I274" s="4">
        <f t="shared" si="460"/>
        <v>0</v>
      </c>
      <c r="J274" s="4">
        <f t="shared" si="460"/>
        <v>0</v>
      </c>
      <c r="K274" s="4">
        <f t="shared" ref="K274:S274" si="479">IF($A85&gt;K$3,0,K148*$C$7)</f>
        <v>0.49747145307953339</v>
      </c>
      <c r="L274" s="4">
        <f t="shared" si="479"/>
        <v>0</v>
      </c>
      <c r="M274" s="4">
        <f t="shared" si="479"/>
        <v>0</v>
      </c>
      <c r="N274" s="4">
        <f t="shared" si="479"/>
        <v>0</v>
      </c>
      <c r="O274" s="4">
        <f t="shared" si="479"/>
        <v>0</v>
      </c>
      <c r="P274" s="4">
        <f t="shared" si="479"/>
        <v>0</v>
      </c>
      <c r="Q274" s="4">
        <f t="shared" si="479"/>
        <v>0</v>
      </c>
      <c r="R274" s="4">
        <f t="shared" si="479"/>
        <v>0</v>
      </c>
      <c r="S274" s="4">
        <f t="shared" si="479"/>
        <v>0</v>
      </c>
      <c r="T274" s="4">
        <f t="shared" ref="T274:U274" si="480">IF($A85&gt;T$3,0,T148*$C$7)</f>
        <v>-1.6717006219268451</v>
      </c>
      <c r="U274" s="4">
        <f t="shared" si="480"/>
        <v>0</v>
      </c>
    </row>
    <row r="275" spans="1:21" x14ac:dyDescent="0.3">
      <c r="A275">
        <f t="shared" si="420"/>
        <v>31</v>
      </c>
      <c r="B275" s="1">
        <f>VLOOKUP(A275,dates!A:B,2,0)</f>
        <v>45870</v>
      </c>
      <c r="C275" s="4">
        <f t="shared" ref="C275:J284" si="481">IF($A86&gt;C$3,0,C149*$C$7)</f>
        <v>0</v>
      </c>
      <c r="D275" s="4">
        <f t="shared" si="481"/>
        <v>0</v>
      </c>
      <c r="E275" s="4">
        <f t="shared" si="481"/>
        <v>0</v>
      </c>
      <c r="F275" s="4">
        <f t="shared" si="481"/>
        <v>0</v>
      </c>
      <c r="G275" s="4">
        <f t="shared" si="481"/>
        <v>0</v>
      </c>
      <c r="H275" s="4">
        <f t="shared" si="481"/>
        <v>0</v>
      </c>
      <c r="I275" s="4">
        <f t="shared" si="481"/>
        <v>0</v>
      </c>
      <c r="J275" s="4">
        <f t="shared" si="481"/>
        <v>0</v>
      </c>
      <c r="K275" s="4">
        <f t="shared" ref="K275:S275" si="482">IF($A86&gt;K$3,0,K149*$C$7)</f>
        <v>-2.5434205486141195E-2</v>
      </c>
      <c r="L275" s="4">
        <f t="shared" si="482"/>
        <v>0</v>
      </c>
      <c r="M275" s="4">
        <f t="shared" si="482"/>
        <v>0</v>
      </c>
      <c r="N275" s="4">
        <f t="shared" si="482"/>
        <v>0</v>
      </c>
      <c r="O275" s="4">
        <f t="shared" si="482"/>
        <v>0</v>
      </c>
      <c r="P275" s="4">
        <f t="shared" si="482"/>
        <v>0</v>
      </c>
      <c r="Q275" s="4">
        <f t="shared" si="482"/>
        <v>0</v>
      </c>
      <c r="R275" s="4">
        <f t="shared" si="482"/>
        <v>0</v>
      </c>
      <c r="S275" s="4">
        <f t="shared" si="482"/>
        <v>0</v>
      </c>
      <c r="T275" s="4">
        <f t="shared" ref="T275:U275" si="483">IF($A86&gt;T$3,0,T149*$C$7)</f>
        <v>-2.2728183211552038</v>
      </c>
      <c r="U275" s="4">
        <f t="shared" si="483"/>
        <v>0</v>
      </c>
    </row>
    <row r="276" spans="1:21" x14ac:dyDescent="0.3">
      <c r="A276">
        <f t="shared" si="420"/>
        <v>32</v>
      </c>
      <c r="B276" s="1">
        <f>VLOOKUP(A276,dates!A:B,2,0)</f>
        <v>45901</v>
      </c>
      <c r="C276" s="4">
        <f t="shared" si="481"/>
        <v>0</v>
      </c>
      <c r="D276" s="4">
        <f t="shared" si="481"/>
        <v>0</v>
      </c>
      <c r="E276" s="4">
        <f t="shared" si="481"/>
        <v>0</v>
      </c>
      <c r="F276" s="4">
        <f t="shared" si="481"/>
        <v>0</v>
      </c>
      <c r="G276" s="4">
        <f t="shared" si="481"/>
        <v>0</v>
      </c>
      <c r="H276" s="4">
        <f t="shared" si="481"/>
        <v>0</v>
      </c>
      <c r="I276" s="4">
        <f t="shared" si="481"/>
        <v>0</v>
      </c>
      <c r="J276" s="4">
        <f t="shared" si="481"/>
        <v>0</v>
      </c>
      <c r="K276" s="4">
        <f t="shared" ref="K276:S276" si="484">IF($A87&gt;K$3,0,K150*$C$7)</f>
        <v>-0.54990858102751283</v>
      </c>
      <c r="L276" s="4">
        <f t="shared" si="484"/>
        <v>0</v>
      </c>
      <c r="M276" s="4">
        <f t="shared" si="484"/>
        <v>0</v>
      </c>
      <c r="N276" s="4">
        <f t="shared" si="484"/>
        <v>0</v>
      </c>
      <c r="O276" s="4">
        <f t="shared" si="484"/>
        <v>0</v>
      </c>
      <c r="P276" s="4">
        <f t="shared" si="484"/>
        <v>0</v>
      </c>
      <c r="Q276" s="4">
        <f t="shared" si="484"/>
        <v>0</v>
      </c>
      <c r="R276" s="4">
        <f t="shared" si="484"/>
        <v>0</v>
      </c>
      <c r="S276" s="4">
        <f t="shared" si="484"/>
        <v>0</v>
      </c>
      <c r="T276" s="4">
        <f t="shared" ref="T276:U276" si="485">IF($A87&gt;T$3,0,T150*$C$7)</f>
        <v>-2.875739373481248</v>
      </c>
      <c r="U276" s="4">
        <f t="shared" si="485"/>
        <v>0</v>
      </c>
    </row>
    <row r="277" spans="1:21" x14ac:dyDescent="0.3">
      <c r="A277">
        <f t="shared" si="420"/>
        <v>33</v>
      </c>
      <c r="B277" s="1">
        <f>VLOOKUP(A277,dates!A:B,2,0)</f>
        <v>45931</v>
      </c>
      <c r="C277" s="4">
        <f t="shared" si="481"/>
        <v>0</v>
      </c>
      <c r="D277" s="4">
        <f t="shared" si="481"/>
        <v>0</v>
      </c>
      <c r="E277" s="4">
        <f t="shared" si="481"/>
        <v>0</v>
      </c>
      <c r="F277" s="4">
        <f t="shared" si="481"/>
        <v>0</v>
      </c>
      <c r="G277" s="4">
        <f t="shared" si="481"/>
        <v>0</v>
      </c>
      <c r="H277" s="4">
        <f t="shared" si="481"/>
        <v>0</v>
      </c>
      <c r="I277" s="4">
        <f t="shared" si="481"/>
        <v>0</v>
      </c>
      <c r="J277" s="4">
        <f t="shared" si="481"/>
        <v>0</v>
      </c>
      <c r="K277" s="4">
        <f t="shared" ref="K277:S277" si="486">IF($A88&gt;K$3,0,K151*$C$7)</f>
        <v>-1.0759563796955085</v>
      </c>
      <c r="L277" s="4">
        <f t="shared" si="486"/>
        <v>0</v>
      </c>
      <c r="M277" s="4">
        <f t="shared" si="486"/>
        <v>0</v>
      </c>
      <c r="N277" s="4">
        <f t="shared" si="486"/>
        <v>0</v>
      </c>
      <c r="O277" s="4">
        <f t="shared" si="486"/>
        <v>0</v>
      </c>
      <c r="P277" s="4">
        <f t="shared" si="486"/>
        <v>0</v>
      </c>
      <c r="Q277" s="4">
        <f t="shared" si="486"/>
        <v>0</v>
      </c>
      <c r="R277" s="4">
        <f t="shared" si="486"/>
        <v>0</v>
      </c>
      <c r="S277" s="4">
        <f t="shared" si="486"/>
        <v>0</v>
      </c>
      <c r="T277" s="4">
        <f t="shared" ref="T277:U277" si="487">IF($A88&gt;T$3,0,T151*$C$7)</f>
        <v>-3.4804691889642698</v>
      </c>
      <c r="U277" s="4">
        <f t="shared" si="487"/>
        <v>0</v>
      </c>
    </row>
    <row r="278" spans="1:21" x14ac:dyDescent="0.3">
      <c r="A278">
        <f t="shared" si="420"/>
        <v>34</v>
      </c>
      <c r="B278" s="1">
        <f>VLOOKUP(A278,dates!A:B,2,0)</f>
        <v>45962</v>
      </c>
      <c r="C278" s="4">
        <f t="shared" si="481"/>
        <v>0</v>
      </c>
      <c r="D278" s="4">
        <f t="shared" si="481"/>
        <v>0</v>
      </c>
      <c r="E278" s="4">
        <f t="shared" si="481"/>
        <v>0</v>
      </c>
      <c r="F278" s="4">
        <f t="shared" si="481"/>
        <v>0</v>
      </c>
      <c r="G278" s="4">
        <f t="shared" si="481"/>
        <v>0</v>
      </c>
      <c r="H278" s="4">
        <f t="shared" si="481"/>
        <v>0</v>
      </c>
      <c r="I278" s="4">
        <f t="shared" si="481"/>
        <v>0</v>
      </c>
      <c r="J278" s="4">
        <f t="shared" si="481"/>
        <v>0</v>
      </c>
      <c r="K278" s="4">
        <f t="shared" ref="K278:S278" si="488">IF($A89&gt;K$3,0,K152*$C$7)</f>
        <v>-1.6035823217595082</v>
      </c>
      <c r="L278" s="4">
        <f t="shared" si="488"/>
        <v>0</v>
      </c>
      <c r="M278" s="4">
        <f t="shared" si="488"/>
        <v>0</v>
      </c>
      <c r="N278" s="4">
        <f t="shared" si="488"/>
        <v>0</v>
      </c>
      <c r="O278" s="4">
        <f t="shared" si="488"/>
        <v>0</v>
      </c>
      <c r="P278" s="4">
        <f t="shared" si="488"/>
        <v>0</v>
      </c>
      <c r="Q278" s="4">
        <f t="shared" si="488"/>
        <v>0</v>
      </c>
      <c r="R278" s="4">
        <f t="shared" si="488"/>
        <v>0</v>
      </c>
      <c r="S278" s="4">
        <f t="shared" si="488"/>
        <v>0</v>
      </c>
      <c r="T278" s="4">
        <f t="shared" ref="T278:U278" si="489">IF($A89&gt;T$3,0,T152*$C$7)</f>
        <v>-4.0870131938937408</v>
      </c>
      <c r="U278" s="4">
        <f t="shared" si="489"/>
        <v>0</v>
      </c>
    </row>
    <row r="279" spans="1:21" x14ac:dyDescent="0.3">
      <c r="A279">
        <f t="shared" si="420"/>
        <v>35</v>
      </c>
      <c r="B279" s="1">
        <f>VLOOKUP(A279,dates!A:B,2,0)</f>
        <v>45992</v>
      </c>
      <c r="C279" s="4">
        <f t="shared" si="481"/>
        <v>0</v>
      </c>
      <c r="D279" s="4">
        <f t="shared" si="481"/>
        <v>0</v>
      </c>
      <c r="E279" s="4">
        <f t="shared" si="481"/>
        <v>0</v>
      </c>
      <c r="F279" s="4">
        <f t="shared" si="481"/>
        <v>0</v>
      </c>
      <c r="G279" s="4">
        <f t="shared" si="481"/>
        <v>0</v>
      </c>
      <c r="H279" s="4">
        <f t="shared" si="481"/>
        <v>0</v>
      </c>
      <c r="I279" s="4">
        <f t="shared" si="481"/>
        <v>0</v>
      </c>
      <c r="J279" s="4">
        <f t="shared" si="481"/>
        <v>0</v>
      </c>
      <c r="K279" s="4">
        <f t="shared" ref="K279:S279" si="490">IF($A90&gt;K$3,0,K153*$C$7)</f>
        <v>-2.1327911416496996</v>
      </c>
      <c r="L279" s="4">
        <f t="shared" si="490"/>
        <v>0</v>
      </c>
      <c r="M279" s="4">
        <f t="shared" si="490"/>
        <v>0</v>
      </c>
      <c r="N279" s="4">
        <f t="shared" si="490"/>
        <v>0</v>
      </c>
      <c r="O279" s="4">
        <f t="shared" si="490"/>
        <v>0</v>
      </c>
      <c r="P279" s="4">
        <f t="shared" si="490"/>
        <v>0</v>
      </c>
      <c r="Q279" s="4">
        <f t="shared" si="490"/>
        <v>0</v>
      </c>
      <c r="R279" s="4">
        <f t="shared" si="490"/>
        <v>0</v>
      </c>
      <c r="S279" s="4">
        <f t="shared" si="490"/>
        <v>0</v>
      </c>
      <c r="T279" s="4">
        <f t="shared" ref="T279:U279" si="491">IF($A90&gt;T$3,0,T153*$C$7)</f>
        <v>-4.6953768308380006</v>
      </c>
      <c r="U279" s="4">
        <f t="shared" si="491"/>
        <v>0</v>
      </c>
    </row>
    <row r="280" spans="1:21" x14ac:dyDescent="0.3">
      <c r="A280">
        <f t="shared" si="420"/>
        <v>36</v>
      </c>
      <c r="B280" s="1">
        <f>VLOOKUP(A280,dates!A:B,2,0)</f>
        <v>46023</v>
      </c>
      <c r="C280" s="4">
        <f t="shared" si="481"/>
        <v>0</v>
      </c>
      <c r="D280" s="4">
        <f t="shared" si="481"/>
        <v>0</v>
      </c>
      <c r="E280" s="4">
        <f t="shared" si="481"/>
        <v>0</v>
      </c>
      <c r="F280" s="4">
        <f t="shared" si="481"/>
        <v>0</v>
      </c>
      <c r="G280" s="4">
        <f t="shared" si="481"/>
        <v>0</v>
      </c>
      <c r="H280" s="4">
        <f t="shared" si="481"/>
        <v>0</v>
      </c>
      <c r="I280" s="4">
        <f t="shared" si="481"/>
        <v>0</v>
      </c>
      <c r="J280" s="4">
        <f t="shared" si="481"/>
        <v>0</v>
      </c>
      <c r="K280" s="4">
        <f t="shared" ref="K280:S280" si="492">IF($A91&gt;K$3,0,K154*$C$7)</f>
        <v>-2.6635875879995621</v>
      </c>
      <c r="L280" s="4">
        <f t="shared" si="492"/>
        <v>0</v>
      </c>
      <c r="M280" s="4">
        <f t="shared" si="492"/>
        <v>0</v>
      </c>
      <c r="N280" s="4">
        <f t="shared" si="492"/>
        <v>0</v>
      </c>
      <c r="O280" s="4">
        <f t="shared" si="492"/>
        <v>0</v>
      </c>
      <c r="P280" s="4">
        <f t="shared" si="492"/>
        <v>0</v>
      </c>
      <c r="Q280" s="4">
        <f t="shared" si="492"/>
        <v>0</v>
      </c>
      <c r="R280" s="4">
        <f t="shared" si="492"/>
        <v>0</v>
      </c>
      <c r="S280" s="4">
        <f t="shared" si="492"/>
        <v>0</v>
      </c>
      <c r="T280" s="4">
        <f t="shared" ref="T280:U280" si="493">IF($A91&gt;T$3,0,T154*$C$7)</f>
        <v>-5.3055655586930932</v>
      </c>
      <c r="U280" s="4">
        <f t="shared" si="493"/>
        <v>0</v>
      </c>
    </row>
    <row r="281" spans="1:21" x14ac:dyDescent="0.3">
      <c r="A281">
        <f t="shared" si="420"/>
        <v>37</v>
      </c>
      <c r="B281" s="1">
        <f>VLOOKUP(A281,dates!A:B,2,0)</f>
        <v>46054</v>
      </c>
      <c r="C281" s="4">
        <f t="shared" si="481"/>
        <v>0</v>
      </c>
      <c r="D281" s="4">
        <f t="shared" si="481"/>
        <v>0</v>
      </c>
      <c r="E281" s="4">
        <f t="shared" si="481"/>
        <v>0</v>
      </c>
      <c r="F281" s="4">
        <f t="shared" si="481"/>
        <v>0</v>
      </c>
      <c r="G281" s="4">
        <f t="shared" si="481"/>
        <v>0</v>
      </c>
      <c r="H281" s="4">
        <f t="shared" si="481"/>
        <v>0</v>
      </c>
      <c r="I281" s="4">
        <f t="shared" si="481"/>
        <v>0</v>
      </c>
      <c r="J281" s="4">
        <f t="shared" si="481"/>
        <v>0</v>
      </c>
      <c r="K281" s="4">
        <f t="shared" ref="K281:S281" si="494">IF($A92&gt;K$3,0,K155*$C$7)</f>
        <v>0</v>
      </c>
      <c r="L281" s="4">
        <f t="shared" si="494"/>
        <v>0</v>
      </c>
      <c r="M281" s="4">
        <f t="shared" si="494"/>
        <v>0</v>
      </c>
      <c r="N281" s="4">
        <f t="shared" si="494"/>
        <v>0</v>
      </c>
      <c r="O281" s="4">
        <f t="shared" si="494"/>
        <v>0</v>
      </c>
      <c r="P281" s="4">
        <f t="shared" si="494"/>
        <v>0</v>
      </c>
      <c r="Q281" s="4">
        <f t="shared" si="494"/>
        <v>0</v>
      </c>
      <c r="R281" s="4">
        <f t="shared" si="494"/>
        <v>0</v>
      </c>
      <c r="S281" s="4">
        <f t="shared" si="494"/>
        <v>0</v>
      </c>
      <c r="T281" s="4">
        <f t="shared" ref="T281:U281" si="495">IF($A92&gt;T$3,0,T155*$C$7)</f>
        <v>0</v>
      </c>
      <c r="U281" s="4">
        <f t="shared" si="495"/>
        <v>0</v>
      </c>
    </row>
    <row r="282" spans="1:21" x14ac:dyDescent="0.3">
      <c r="A282">
        <f t="shared" si="420"/>
        <v>38</v>
      </c>
      <c r="B282" s="1">
        <f>VLOOKUP(A282,dates!A:B,2,0)</f>
        <v>46082</v>
      </c>
      <c r="C282" s="4">
        <f t="shared" si="481"/>
        <v>0</v>
      </c>
      <c r="D282" s="4">
        <f t="shared" si="481"/>
        <v>0</v>
      </c>
      <c r="E282" s="4">
        <f t="shared" si="481"/>
        <v>0</v>
      </c>
      <c r="F282" s="4">
        <f t="shared" si="481"/>
        <v>0</v>
      </c>
      <c r="G282" s="4">
        <f t="shared" si="481"/>
        <v>0</v>
      </c>
      <c r="H282" s="4">
        <f t="shared" si="481"/>
        <v>0</v>
      </c>
      <c r="I282" s="4">
        <f t="shared" si="481"/>
        <v>0</v>
      </c>
      <c r="J282" s="4">
        <f t="shared" si="481"/>
        <v>0</v>
      </c>
      <c r="K282" s="4">
        <f t="shared" ref="K282:S282" si="496">IF($A93&gt;K$3,0,K156*$C$7)</f>
        <v>0</v>
      </c>
      <c r="L282" s="4">
        <f t="shared" si="496"/>
        <v>0</v>
      </c>
      <c r="M282" s="4">
        <f t="shared" si="496"/>
        <v>0</v>
      </c>
      <c r="N282" s="4">
        <f t="shared" si="496"/>
        <v>0</v>
      </c>
      <c r="O282" s="4">
        <f t="shared" si="496"/>
        <v>0</v>
      </c>
      <c r="P282" s="4">
        <f t="shared" si="496"/>
        <v>0</v>
      </c>
      <c r="Q282" s="4">
        <f t="shared" si="496"/>
        <v>0</v>
      </c>
      <c r="R282" s="4">
        <f t="shared" si="496"/>
        <v>0</v>
      </c>
      <c r="S282" s="4">
        <f t="shared" si="496"/>
        <v>0</v>
      </c>
      <c r="T282" s="4">
        <f t="shared" ref="T282:U282" si="497">IF($A93&gt;T$3,0,T156*$C$7)</f>
        <v>0</v>
      </c>
      <c r="U282" s="4">
        <f t="shared" si="497"/>
        <v>0</v>
      </c>
    </row>
    <row r="283" spans="1:21" x14ac:dyDescent="0.3">
      <c r="A283">
        <f t="shared" si="420"/>
        <v>39</v>
      </c>
      <c r="B283" s="1">
        <f>VLOOKUP(A283,dates!A:B,2,0)</f>
        <v>46113</v>
      </c>
      <c r="C283" s="4">
        <f t="shared" si="481"/>
        <v>0</v>
      </c>
      <c r="D283" s="4">
        <f t="shared" si="481"/>
        <v>0</v>
      </c>
      <c r="E283" s="4">
        <f t="shared" si="481"/>
        <v>0</v>
      </c>
      <c r="F283" s="4">
        <f t="shared" si="481"/>
        <v>0</v>
      </c>
      <c r="G283" s="4">
        <f t="shared" si="481"/>
        <v>0</v>
      </c>
      <c r="H283" s="4">
        <f t="shared" si="481"/>
        <v>0</v>
      </c>
      <c r="I283" s="4">
        <f t="shared" si="481"/>
        <v>0</v>
      </c>
      <c r="J283" s="4">
        <f t="shared" si="481"/>
        <v>0</v>
      </c>
      <c r="K283" s="4">
        <f t="shared" ref="K283:S283" si="498">IF($A94&gt;K$3,0,K157*$C$7)</f>
        <v>0</v>
      </c>
      <c r="L283" s="4">
        <f t="shared" si="498"/>
        <v>0</v>
      </c>
      <c r="M283" s="4">
        <f t="shared" si="498"/>
        <v>0</v>
      </c>
      <c r="N283" s="4">
        <f t="shared" si="498"/>
        <v>0</v>
      </c>
      <c r="O283" s="4">
        <f t="shared" si="498"/>
        <v>0</v>
      </c>
      <c r="P283" s="4">
        <f t="shared" si="498"/>
        <v>0</v>
      </c>
      <c r="Q283" s="4">
        <f t="shared" si="498"/>
        <v>0</v>
      </c>
      <c r="R283" s="4">
        <f t="shared" si="498"/>
        <v>0</v>
      </c>
      <c r="S283" s="4">
        <f t="shared" si="498"/>
        <v>0</v>
      </c>
      <c r="T283" s="4">
        <f t="shared" ref="T283:U283" si="499">IF($A94&gt;T$3,0,T157*$C$7)</f>
        <v>0</v>
      </c>
      <c r="U283" s="4">
        <f t="shared" si="499"/>
        <v>0</v>
      </c>
    </row>
    <row r="284" spans="1:21" x14ac:dyDescent="0.3">
      <c r="A284">
        <f t="shared" si="420"/>
        <v>40</v>
      </c>
      <c r="B284" s="1">
        <f>VLOOKUP(A284,dates!A:B,2,0)</f>
        <v>46143</v>
      </c>
      <c r="C284" s="4">
        <f t="shared" si="481"/>
        <v>0</v>
      </c>
      <c r="D284" s="4">
        <f t="shared" si="481"/>
        <v>0</v>
      </c>
      <c r="E284" s="4">
        <f t="shared" si="481"/>
        <v>0</v>
      </c>
      <c r="F284" s="4">
        <f t="shared" si="481"/>
        <v>0</v>
      </c>
      <c r="G284" s="4">
        <f t="shared" si="481"/>
        <v>0</v>
      </c>
      <c r="H284" s="4">
        <f t="shared" si="481"/>
        <v>0</v>
      </c>
      <c r="I284" s="4">
        <f t="shared" si="481"/>
        <v>0</v>
      </c>
      <c r="J284" s="4">
        <f t="shared" si="481"/>
        <v>0</v>
      </c>
      <c r="K284" s="4">
        <f t="shared" ref="K284:S284" si="500">IF($A95&gt;K$3,0,K158*$C$7)</f>
        <v>0</v>
      </c>
      <c r="L284" s="4">
        <f t="shared" si="500"/>
        <v>0</v>
      </c>
      <c r="M284" s="4">
        <f t="shared" si="500"/>
        <v>0</v>
      </c>
      <c r="N284" s="4">
        <f t="shared" si="500"/>
        <v>0</v>
      </c>
      <c r="O284" s="4">
        <f t="shared" si="500"/>
        <v>0</v>
      </c>
      <c r="P284" s="4">
        <f t="shared" si="500"/>
        <v>0</v>
      </c>
      <c r="Q284" s="4">
        <f t="shared" si="500"/>
        <v>0</v>
      </c>
      <c r="R284" s="4">
        <f t="shared" si="500"/>
        <v>0</v>
      </c>
      <c r="S284" s="4">
        <f t="shared" si="500"/>
        <v>0</v>
      </c>
      <c r="T284" s="4">
        <f t="shared" ref="T284:U284" si="501">IF($A95&gt;T$3,0,T158*$C$7)</f>
        <v>0</v>
      </c>
      <c r="U284" s="4">
        <f t="shared" si="501"/>
        <v>0</v>
      </c>
    </row>
    <row r="285" spans="1:21" x14ac:dyDescent="0.3">
      <c r="A285">
        <f t="shared" si="420"/>
        <v>41</v>
      </c>
      <c r="B285" s="1">
        <f>VLOOKUP(A285,dates!A:B,2,0)</f>
        <v>46174</v>
      </c>
      <c r="C285" s="4">
        <f t="shared" ref="C285:J294" si="502">IF($A96&gt;C$3,0,C159*$C$7)</f>
        <v>0</v>
      </c>
      <c r="D285" s="4">
        <f t="shared" si="502"/>
        <v>0</v>
      </c>
      <c r="E285" s="4">
        <f t="shared" si="502"/>
        <v>0</v>
      </c>
      <c r="F285" s="4">
        <f t="shared" si="502"/>
        <v>0</v>
      </c>
      <c r="G285" s="4">
        <f t="shared" si="502"/>
        <v>0</v>
      </c>
      <c r="H285" s="4">
        <f t="shared" si="502"/>
        <v>0</v>
      </c>
      <c r="I285" s="4">
        <f t="shared" si="502"/>
        <v>0</v>
      </c>
      <c r="J285" s="4">
        <f t="shared" si="502"/>
        <v>0</v>
      </c>
      <c r="K285" s="4">
        <f t="shared" ref="K285:S285" si="503">IF($A96&gt;K$3,0,K159*$C$7)</f>
        <v>0</v>
      </c>
      <c r="L285" s="4">
        <f t="shared" si="503"/>
        <v>0</v>
      </c>
      <c r="M285" s="4">
        <f t="shared" si="503"/>
        <v>0</v>
      </c>
      <c r="N285" s="4">
        <f t="shared" si="503"/>
        <v>0</v>
      </c>
      <c r="O285" s="4">
        <f t="shared" si="503"/>
        <v>0</v>
      </c>
      <c r="P285" s="4">
        <f t="shared" si="503"/>
        <v>0</v>
      </c>
      <c r="Q285" s="4">
        <f t="shared" si="503"/>
        <v>0</v>
      </c>
      <c r="R285" s="4">
        <f t="shared" si="503"/>
        <v>0</v>
      </c>
      <c r="S285" s="4">
        <f t="shared" si="503"/>
        <v>0</v>
      </c>
      <c r="T285" s="4">
        <f t="shared" ref="T285:U285" si="504">IF($A96&gt;T$3,0,T159*$C$7)</f>
        <v>0</v>
      </c>
      <c r="U285" s="4">
        <f t="shared" si="504"/>
        <v>0</v>
      </c>
    </row>
    <row r="286" spans="1:21" x14ac:dyDescent="0.3">
      <c r="A286">
        <f t="shared" si="420"/>
        <v>42</v>
      </c>
      <c r="B286" s="1">
        <f>VLOOKUP(A286,dates!A:B,2,0)</f>
        <v>46204</v>
      </c>
      <c r="C286" s="4">
        <f t="shared" si="502"/>
        <v>0</v>
      </c>
      <c r="D286" s="4">
        <f t="shared" si="502"/>
        <v>0</v>
      </c>
      <c r="E286" s="4">
        <f t="shared" si="502"/>
        <v>0</v>
      </c>
      <c r="F286" s="4">
        <f t="shared" si="502"/>
        <v>0</v>
      </c>
      <c r="G286" s="4">
        <f t="shared" si="502"/>
        <v>0</v>
      </c>
      <c r="H286" s="4">
        <f t="shared" si="502"/>
        <v>0</v>
      </c>
      <c r="I286" s="4">
        <f t="shared" si="502"/>
        <v>0</v>
      </c>
      <c r="J286" s="4">
        <f t="shared" si="502"/>
        <v>0</v>
      </c>
      <c r="K286" s="4">
        <f t="shared" ref="K286:S286" si="505">IF($A97&gt;K$3,0,K160*$C$7)</f>
        <v>0</v>
      </c>
      <c r="L286" s="4">
        <f t="shared" si="505"/>
        <v>0</v>
      </c>
      <c r="M286" s="4">
        <f t="shared" si="505"/>
        <v>0</v>
      </c>
      <c r="N286" s="4">
        <f t="shared" si="505"/>
        <v>0</v>
      </c>
      <c r="O286" s="4">
        <f t="shared" si="505"/>
        <v>0</v>
      </c>
      <c r="P286" s="4">
        <f t="shared" si="505"/>
        <v>0</v>
      </c>
      <c r="Q286" s="4">
        <f t="shared" si="505"/>
        <v>0</v>
      </c>
      <c r="R286" s="4">
        <f t="shared" si="505"/>
        <v>0</v>
      </c>
      <c r="S286" s="4">
        <f t="shared" si="505"/>
        <v>0</v>
      </c>
      <c r="T286" s="4">
        <f t="shared" ref="T286:U286" si="506">IF($A97&gt;T$3,0,T160*$C$7)</f>
        <v>0</v>
      </c>
      <c r="U286" s="4">
        <f t="shared" si="506"/>
        <v>0</v>
      </c>
    </row>
    <row r="287" spans="1:21" x14ac:dyDescent="0.3">
      <c r="A287">
        <f t="shared" si="420"/>
        <v>43</v>
      </c>
      <c r="B287" s="1">
        <f>VLOOKUP(A287,dates!A:B,2,0)</f>
        <v>46235</v>
      </c>
      <c r="C287" s="4">
        <f t="shared" si="502"/>
        <v>0</v>
      </c>
      <c r="D287" s="4">
        <f t="shared" si="502"/>
        <v>0</v>
      </c>
      <c r="E287" s="4">
        <f t="shared" si="502"/>
        <v>0</v>
      </c>
      <c r="F287" s="4">
        <f t="shared" si="502"/>
        <v>0</v>
      </c>
      <c r="G287" s="4">
        <f t="shared" si="502"/>
        <v>0</v>
      </c>
      <c r="H287" s="4">
        <f t="shared" si="502"/>
        <v>0</v>
      </c>
      <c r="I287" s="4">
        <f t="shared" si="502"/>
        <v>0</v>
      </c>
      <c r="J287" s="4">
        <f t="shared" si="502"/>
        <v>0</v>
      </c>
      <c r="K287" s="4">
        <f t="shared" ref="K287:S287" si="507">IF($A98&gt;K$3,0,K161*$C$7)</f>
        <v>0</v>
      </c>
      <c r="L287" s="4">
        <f t="shared" si="507"/>
        <v>0</v>
      </c>
      <c r="M287" s="4">
        <f t="shared" si="507"/>
        <v>0</v>
      </c>
      <c r="N287" s="4">
        <f t="shared" si="507"/>
        <v>0</v>
      </c>
      <c r="O287" s="4">
        <f t="shared" si="507"/>
        <v>0</v>
      </c>
      <c r="P287" s="4">
        <f t="shared" si="507"/>
        <v>0</v>
      </c>
      <c r="Q287" s="4">
        <f t="shared" si="507"/>
        <v>0</v>
      </c>
      <c r="R287" s="4">
        <f t="shared" si="507"/>
        <v>0</v>
      </c>
      <c r="S287" s="4">
        <f t="shared" si="507"/>
        <v>0</v>
      </c>
      <c r="T287" s="4">
        <f t="shared" ref="T287:U287" si="508">IF($A98&gt;T$3,0,T161*$C$7)</f>
        <v>0</v>
      </c>
      <c r="U287" s="4">
        <f t="shared" si="508"/>
        <v>0</v>
      </c>
    </row>
    <row r="288" spans="1:21" x14ac:dyDescent="0.3">
      <c r="A288">
        <f t="shared" si="420"/>
        <v>44</v>
      </c>
      <c r="B288" s="1">
        <f>VLOOKUP(A288,dates!A:B,2,0)</f>
        <v>46266</v>
      </c>
      <c r="C288" s="4">
        <f t="shared" si="502"/>
        <v>0</v>
      </c>
      <c r="D288" s="4">
        <f t="shared" si="502"/>
        <v>0</v>
      </c>
      <c r="E288" s="4">
        <f t="shared" si="502"/>
        <v>0</v>
      </c>
      <c r="F288" s="4">
        <f t="shared" si="502"/>
        <v>0</v>
      </c>
      <c r="G288" s="4">
        <f t="shared" si="502"/>
        <v>0</v>
      </c>
      <c r="H288" s="4">
        <f t="shared" si="502"/>
        <v>0</v>
      </c>
      <c r="I288" s="4">
        <f t="shared" si="502"/>
        <v>0</v>
      </c>
      <c r="J288" s="4">
        <f t="shared" si="502"/>
        <v>0</v>
      </c>
      <c r="K288" s="4">
        <f t="shared" ref="K288:S288" si="509">IF($A99&gt;K$3,0,K162*$C$7)</f>
        <v>0</v>
      </c>
      <c r="L288" s="4">
        <f t="shared" si="509"/>
        <v>0</v>
      </c>
      <c r="M288" s="4">
        <f t="shared" si="509"/>
        <v>0</v>
      </c>
      <c r="N288" s="4">
        <f t="shared" si="509"/>
        <v>0</v>
      </c>
      <c r="O288" s="4">
        <f t="shared" si="509"/>
        <v>0</v>
      </c>
      <c r="P288" s="4">
        <f t="shared" si="509"/>
        <v>0</v>
      </c>
      <c r="Q288" s="4">
        <f t="shared" si="509"/>
        <v>0</v>
      </c>
      <c r="R288" s="4">
        <f t="shared" si="509"/>
        <v>0</v>
      </c>
      <c r="S288" s="4">
        <f t="shared" si="509"/>
        <v>0</v>
      </c>
      <c r="T288" s="4">
        <f t="shared" ref="T288:U288" si="510">IF($A99&gt;T$3,0,T162*$C$7)</f>
        <v>0</v>
      </c>
      <c r="U288" s="4">
        <f t="shared" si="510"/>
        <v>0</v>
      </c>
    </row>
    <row r="289" spans="1:21" x14ac:dyDescent="0.3">
      <c r="A289">
        <f t="shared" si="420"/>
        <v>45</v>
      </c>
      <c r="B289" s="1">
        <f>VLOOKUP(A289,dates!A:B,2,0)</f>
        <v>46296</v>
      </c>
      <c r="C289" s="4">
        <f t="shared" si="502"/>
        <v>0</v>
      </c>
      <c r="D289" s="4">
        <f t="shared" si="502"/>
        <v>0</v>
      </c>
      <c r="E289" s="4">
        <f t="shared" si="502"/>
        <v>0</v>
      </c>
      <c r="F289" s="4">
        <f t="shared" si="502"/>
        <v>0</v>
      </c>
      <c r="G289" s="4">
        <f t="shared" si="502"/>
        <v>0</v>
      </c>
      <c r="H289" s="4">
        <f t="shared" si="502"/>
        <v>0</v>
      </c>
      <c r="I289" s="4">
        <f t="shared" si="502"/>
        <v>0</v>
      </c>
      <c r="J289" s="4">
        <f t="shared" si="502"/>
        <v>0</v>
      </c>
      <c r="K289" s="4">
        <f t="shared" ref="K289:S289" si="511">IF($A100&gt;K$3,0,K163*$C$7)</f>
        <v>0</v>
      </c>
      <c r="L289" s="4">
        <f t="shared" si="511"/>
        <v>0</v>
      </c>
      <c r="M289" s="4">
        <f t="shared" si="511"/>
        <v>0</v>
      </c>
      <c r="N289" s="4">
        <f t="shared" si="511"/>
        <v>0</v>
      </c>
      <c r="O289" s="4">
        <f t="shared" si="511"/>
        <v>0</v>
      </c>
      <c r="P289" s="4">
        <f t="shared" si="511"/>
        <v>0</v>
      </c>
      <c r="Q289" s="4">
        <f t="shared" si="511"/>
        <v>0</v>
      </c>
      <c r="R289" s="4">
        <f t="shared" si="511"/>
        <v>0</v>
      </c>
      <c r="S289" s="4">
        <f t="shared" si="511"/>
        <v>0</v>
      </c>
      <c r="T289" s="4">
        <f t="shared" ref="T289:U289" si="512">IF($A100&gt;T$3,0,T163*$C$7)</f>
        <v>0</v>
      </c>
      <c r="U289" s="4">
        <f t="shared" si="512"/>
        <v>0</v>
      </c>
    </row>
    <row r="290" spans="1:21" x14ac:dyDescent="0.3">
      <c r="A290">
        <f t="shared" si="420"/>
        <v>46</v>
      </c>
      <c r="B290" s="1">
        <f>VLOOKUP(A290,dates!A:B,2,0)</f>
        <v>46327</v>
      </c>
      <c r="C290" s="4">
        <f t="shared" si="502"/>
        <v>0</v>
      </c>
      <c r="D290" s="4">
        <f t="shared" si="502"/>
        <v>0</v>
      </c>
      <c r="E290" s="4">
        <f t="shared" si="502"/>
        <v>0</v>
      </c>
      <c r="F290" s="4">
        <f t="shared" si="502"/>
        <v>0</v>
      </c>
      <c r="G290" s="4">
        <f t="shared" si="502"/>
        <v>0</v>
      </c>
      <c r="H290" s="4">
        <f t="shared" si="502"/>
        <v>0</v>
      </c>
      <c r="I290" s="4">
        <f t="shared" si="502"/>
        <v>0</v>
      </c>
      <c r="J290" s="4">
        <f t="shared" si="502"/>
        <v>0</v>
      </c>
      <c r="K290" s="4">
        <f t="shared" ref="K290:S290" si="513">IF($A101&gt;K$3,0,K164*$C$7)</f>
        <v>0</v>
      </c>
      <c r="L290" s="4">
        <f t="shared" si="513"/>
        <v>0</v>
      </c>
      <c r="M290" s="4">
        <f t="shared" si="513"/>
        <v>0</v>
      </c>
      <c r="N290" s="4">
        <f t="shared" si="513"/>
        <v>0</v>
      </c>
      <c r="O290" s="4">
        <f t="shared" si="513"/>
        <v>0</v>
      </c>
      <c r="P290" s="4">
        <f t="shared" si="513"/>
        <v>0</v>
      </c>
      <c r="Q290" s="4">
        <f t="shared" si="513"/>
        <v>0</v>
      </c>
      <c r="R290" s="4">
        <f t="shared" si="513"/>
        <v>0</v>
      </c>
      <c r="S290" s="4">
        <f t="shared" si="513"/>
        <v>0</v>
      </c>
      <c r="T290" s="4">
        <f t="shared" ref="T290:U290" si="514">IF($A101&gt;T$3,0,T164*$C$7)</f>
        <v>0</v>
      </c>
      <c r="U290" s="4">
        <f t="shared" si="514"/>
        <v>0</v>
      </c>
    </row>
    <row r="291" spans="1:21" x14ac:dyDescent="0.3">
      <c r="A291">
        <f t="shared" si="420"/>
        <v>47</v>
      </c>
      <c r="B291" s="1">
        <f>VLOOKUP(A291,dates!A:B,2,0)</f>
        <v>46357</v>
      </c>
      <c r="C291" s="4">
        <f t="shared" si="502"/>
        <v>0</v>
      </c>
      <c r="D291" s="4">
        <f t="shared" si="502"/>
        <v>0</v>
      </c>
      <c r="E291" s="4">
        <f t="shared" si="502"/>
        <v>0</v>
      </c>
      <c r="F291" s="4">
        <f t="shared" si="502"/>
        <v>0</v>
      </c>
      <c r="G291" s="4">
        <f t="shared" si="502"/>
        <v>0</v>
      </c>
      <c r="H291" s="4">
        <f t="shared" si="502"/>
        <v>0</v>
      </c>
      <c r="I291" s="4">
        <f t="shared" si="502"/>
        <v>0</v>
      </c>
      <c r="J291" s="4">
        <f t="shared" si="502"/>
        <v>0</v>
      </c>
      <c r="K291" s="4">
        <f t="shared" ref="K291:S291" si="515">IF($A102&gt;K$3,0,K165*$C$7)</f>
        <v>0</v>
      </c>
      <c r="L291" s="4">
        <f t="shared" si="515"/>
        <v>0</v>
      </c>
      <c r="M291" s="4">
        <f t="shared" si="515"/>
        <v>0</v>
      </c>
      <c r="N291" s="4">
        <f t="shared" si="515"/>
        <v>0</v>
      </c>
      <c r="O291" s="4">
        <f t="shared" si="515"/>
        <v>0</v>
      </c>
      <c r="P291" s="4">
        <f t="shared" si="515"/>
        <v>0</v>
      </c>
      <c r="Q291" s="4">
        <f t="shared" si="515"/>
        <v>0</v>
      </c>
      <c r="R291" s="4">
        <f t="shared" si="515"/>
        <v>0</v>
      </c>
      <c r="S291" s="4">
        <f t="shared" si="515"/>
        <v>0</v>
      </c>
      <c r="T291" s="4">
        <f t="shared" ref="T291:U291" si="516">IF($A102&gt;T$3,0,T165*$C$7)</f>
        <v>0</v>
      </c>
      <c r="U291" s="4">
        <f t="shared" si="516"/>
        <v>0</v>
      </c>
    </row>
    <row r="292" spans="1:21" x14ac:dyDescent="0.3">
      <c r="A292">
        <f t="shared" si="420"/>
        <v>48</v>
      </c>
      <c r="B292" s="1">
        <f>VLOOKUP(A292,dates!A:B,2,0)</f>
        <v>46388</v>
      </c>
      <c r="C292" s="4">
        <f t="shared" si="502"/>
        <v>0</v>
      </c>
      <c r="D292" s="4">
        <f t="shared" si="502"/>
        <v>0</v>
      </c>
      <c r="E292" s="4">
        <f t="shared" si="502"/>
        <v>0</v>
      </c>
      <c r="F292" s="4">
        <f t="shared" si="502"/>
        <v>0</v>
      </c>
      <c r="G292" s="4">
        <f t="shared" si="502"/>
        <v>0</v>
      </c>
      <c r="H292" s="4">
        <f t="shared" si="502"/>
        <v>0</v>
      </c>
      <c r="I292" s="4">
        <f t="shared" si="502"/>
        <v>0</v>
      </c>
      <c r="J292" s="4">
        <f t="shared" si="502"/>
        <v>0</v>
      </c>
      <c r="K292" s="4">
        <f t="shared" ref="K292:S292" si="517">IF($A103&gt;K$3,0,K166*$C$7)</f>
        <v>0</v>
      </c>
      <c r="L292" s="4">
        <f t="shared" si="517"/>
        <v>0</v>
      </c>
      <c r="M292" s="4">
        <f t="shared" si="517"/>
        <v>0</v>
      </c>
      <c r="N292" s="4">
        <f t="shared" si="517"/>
        <v>0</v>
      </c>
      <c r="O292" s="4">
        <f t="shared" si="517"/>
        <v>0</v>
      </c>
      <c r="P292" s="4">
        <f t="shared" si="517"/>
        <v>0</v>
      </c>
      <c r="Q292" s="4">
        <f t="shared" si="517"/>
        <v>0</v>
      </c>
      <c r="R292" s="4">
        <f t="shared" si="517"/>
        <v>0</v>
      </c>
      <c r="S292" s="4">
        <f t="shared" si="517"/>
        <v>0</v>
      </c>
      <c r="T292" s="4">
        <f t="shared" ref="T292:U292" si="518">IF($A103&gt;T$3,0,T166*$C$7)</f>
        <v>0</v>
      </c>
      <c r="U292" s="4">
        <f t="shared" si="518"/>
        <v>0</v>
      </c>
    </row>
    <row r="293" spans="1:21" x14ac:dyDescent="0.3">
      <c r="A293">
        <f t="shared" si="420"/>
        <v>49</v>
      </c>
      <c r="B293" s="1">
        <f>VLOOKUP(A293,dates!A:B,2,0)</f>
        <v>46419</v>
      </c>
      <c r="C293" s="4">
        <f t="shared" si="502"/>
        <v>0</v>
      </c>
      <c r="D293" s="4">
        <f t="shared" si="502"/>
        <v>0</v>
      </c>
      <c r="E293" s="4">
        <f t="shared" si="502"/>
        <v>0</v>
      </c>
      <c r="F293" s="4">
        <f t="shared" si="502"/>
        <v>0</v>
      </c>
      <c r="G293" s="4">
        <f t="shared" si="502"/>
        <v>0</v>
      </c>
      <c r="H293" s="4">
        <f t="shared" si="502"/>
        <v>0</v>
      </c>
      <c r="I293" s="4">
        <f t="shared" si="502"/>
        <v>0</v>
      </c>
      <c r="J293" s="4">
        <f t="shared" si="502"/>
        <v>0</v>
      </c>
      <c r="K293" s="4">
        <f t="shared" ref="K293:S293" si="519">IF($A104&gt;K$3,0,K167*$C$7)</f>
        <v>0</v>
      </c>
      <c r="L293" s="4">
        <f t="shared" si="519"/>
        <v>0</v>
      </c>
      <c r="M293" s="4">
        <f t="shared" si="519"/>
        <v>0</v>
      </c>
      <c r="N293" s="4">
        <f t="shared" si="519"/>
        <v>0</v>
      </c>
      <c r="O293" s="4">
        <f t="shared" si="519"/>
        <v>0</v>
      </c>
      <c r="P293" s="4">
        <f t="shared" si="519"/>
        <v>0</v>
      </c>
      <c r="Q293" s="4">
        <f t="shared" si="519"/>
        <v>0</v>
      </c>
      <c r="R293" s="4">
        <f t="shared" si="519"/>
        <v>0</v>
      </c>
      <c r="S293" s="4">
        <f t="shared" si="519"/>
        <v>0</v>
      </c>
      <c r="T293" s="4">
        <f t="shared" ref="T293:U293" si="520">IF($A104&gt;T$3,0,T167*$C$7)</f>
        <v>0</v>
      </c>
      <c r="U293" s="4">
        <f t="shared" si="520"/>
        <v>0</v>
      </c>
    </row>
    <row r="294" spans="1:21" x14ac:dyDescent="0.3">
      <c r="A294">
        <f t="shared" si="420"/>
        <v>50</v>
      </c>
      <c r="B294" s="1">
        <f>VLOOKUP(A294,dates!A:B,2,0)</f>
        <v>46447</v>
      </c>
      <c r="C294" s="4">
        <f t="shared" si="502"/>
        <v>0</v>
      </c>
      <c r="D294" s="4">
        <f t="shared" si="502"/>
        <v>0</v>
      </c>
      <c r="E294" s="4">
        <f t="shared" si="502"/>
        <v>0</v>
      </c>
      <c r="F294" s="4">
        <f t="shared" si="502"/>
        <v>0</v>
      </c>
      <c r="G294" s="4">
        <f t="shared" si="502"/>
        <v>0</v>
      </c>
      <c r="H294" s="4">
        <f t="shared" si="502"/>
        <v>0</v>
      </c>
      <c r="I294" s="4">
        <f t="shared" si="502"/>
        <v>0</v>
      </c>
      <c r="J294" s="4">
        <f t="shared" si="502"/>
        <v>0</v>
      </c>
      <c r="K294" s="4">
        <f t="shared" ref="K294:S294" si="521">IF($A105&gt;K$3,0,K168*$C$7)</f>
        <v>0</v>
      </c>
      <c r="L294" s="4">
        <f t="shared" si="521"/>
        <v>0</v>
      </c>
      <c r="M294" s="4">
        <f t="shared" si="521"/>
        <v>0</v>
      </c>
      <c r="N294" s="4">
        <f t="shared" si="521"/>
        <v>0</v>
      </c>
      <c r="O294" s="4">
        <f t="shared" si="521"/>
        <v>0</v>
      </c>
      <c r="P294" s="4">
        <f t="shared" si="521"/>
        <v>0</v>
      </c>
      <c r="Q294" s="4">
        <f t="shared" si="521"/>
        <v>0</v>
      </c>
      <c r="R294" s="4">
        <f t="shared" si="521"/>
        <v>0</v>
      </c>
      <c r="S294" s="4">
        <f t="shared" si="521"/>
        <v>0</v>
      </c>
      <c r="T294" s="4">
        <f t="shared" ref="T294:U294" si="522">IF($A105&gt;T$3,0,T168*$C$7)</f>
        <v>0</v>
      </c>
      <c r="U294" s="4">
        <f t="shared" si="522"/>
        <v>0</v>
      </c>
    </row>
    <row r="295" spans="1:21" x14ac:dyDescent="0.3">
      <c r="A295">
        <f t="shared" si="420"/>
        <v>51</v>
      </c>
      <c r="B295" s="1">
        <f>VLOOKUP(A295,dates!A:B,2,0)</f>
        <v>46478</v>
      </c>
      <c r="C295" s="4">
        <f t="shared" ref="C295:J304" si="523">IF($A106&gt;C$3,0,C169*$C$7)</f>
        <v>0</v>
      </c>
      <c r="D295" s="4">
        <f t="shared" si="523"/>
        <v>0</v>
      </c>
      <c r="E295" s="4">
        <f t="shared" si="523"/>
        <v>0</v>
      </c>
      <c r="F295" s="4">
        <f t="shared" si="523"/>
        <v>0</v>
      </c>
      <c r="G295" s="4">
        <f t="shared" si="523"/>
        <v>0</v>
      </c>
      <c r="H295" s="4">
        <f t="shared" si="523"/>
        <v>0</v>
      </c>
      <c r="I295" s="4">
        <f t="shared" si="523"/>
        <v>0</v>
      </c>
      <c r="J295" s="4">
        <f t="shared" si="523"/>
        <v>0</v>
      </c>
      <c r="K295" s="4">
        <f t="shared" ref="K295:S295" si="524">IF($A106&gt;K$3,0,K169*$C$7)</f>
        <v>0</v>
      </c>
      <c r="L295" s="4">
        <f t="shared" si="524"/>
        <v>0</v>
      </c>
      <c r="M295" s="4">
        <f t="shared" si="524"/>
        <v>0</v>
      </c>
      <c r="N295" s="4">
        <f t="shared" si="524"/>
        <v>0</v>
      </c>
      <c r="O295" s="4">
        <f t="shared" si="524"/>
        <v>0</v>
      </c>
      <c r="P295" s="4">
        <f t="shared" si="524"/>
        <v>0</v>
      </c>
      <c r="Q295" s="4">
        <f t="shared" si="524"/>
        <v>0</v>
      </c>
      <c r="R295" s="4">
        <f t="shared" si="524"/>
        <v>0</v>
      </c>
      <c r="S295" s="4">
        <f t="shared" si="524"/>
        <v>0</v>
      </c>
      <c r="T295" s="4">
        <f t="shared" ref="T295:U295" si="525">IF($A106&gt;T$3,0,T169*$C$7)</f>
        <v>0</v>
      </c>
      <c r="U295" s="4">
        <f t="shared" si="525"/>
        <v>0</v>
      </c>
    </row>
    <row r="296" spans="1:21" x14ac:dyDescent="0.3">
      <c r="A296">
        <f t="shared" si="420"/>
        <v>52</v>
      </c>
      <c r="B296" s="1">
        <f>VLOOKUP(A296,dates!A:B,2,0)</f>
        <v>46508</v>
      </c>
      <c r="C296" s="4">
        <f t="shared" si="523"/>
        <v>0</v>
      </c>
      <c r="D296" s="4">
        <f t="shared" si="523"/>
        <v>0</v>
      </c>
      <c r="E296" s="4">
        <f t="shared" si="523"/>
        <v>0</v>
      </c>
      <c r="F296" s="4">
        <f t="shared" si="523"/>
        <v>0</v>
      </c>
      <c r="G296" s="4">
        <f t="shared" si="523"/>
        <v>0</v>
      </c>
      <c r="H296" s="4">
        <f t="shared" si="523"/>
        <v>0</v>
      </c>
      <c r="I296" s="4">
        <f t="shared" si="523"/>
        <v>0</v>
      </c>
      <c r="J296" s="4">
        <f t="shared" si="523"/>
        <v>0</v>
      </c>
      <c r="K296" s="4">
        <f t="shared" ref="K296:S296" si="526">IF($A107&gt;K$3,0,K170*$C$7)</f>
        <v>0</v>
      </c>
      <c r="L296" s="4">
        <f t="shared" si="526"/>
        <v>0</v>
      </c>
      <c r="M296" s="4">
        <f t="shared" si="526"/>
        <v>0</v>
      </c>
      <c r="N296" s="4">
        <f t="shared" si="526"/>
        <v>0</v>
      </c>
      <c r="O296" s="4">
        <f t="shared" si="526"/>
        <v>0</v>
      </c>
      <c r="P296" s="4">
        <f t="shared" si="526"/>
        <v>0</v>
      </c>
      <c r="Q296" s="4">
        <f t="shared" si="526"/>
        <v>0</v>
      </c>
      <c r="R296" s="4">
        <f t="shared" si="526"/>
        <v>0</v>
      </c>
      <c r="S296" s="4">
        <f t="shared" si="526"/>
        <v>0</v>
      </c>
      <c r="T296" s="4">
        <f t="shared" ref="T296:U296" si="527">IF($A107&gt;T$3,0,T170*$C$7)</f>
        <v>0</v>
      </c>
      <c r="U296" s="4">
        <f t="shared" si="527"/>
        <v>0</v>
      </c>
    </row>
    <row r="297" spans="1:21" x14ac:dyDescent="0.3">
      <c r="A297">
        <f t="shared" si="420"/>
        <v>53</v>
      </c>
      <c r="B297" s="1">
        <f>VLOOKUP(A297,dates!A:B,2,0)</f>
        <v>46539</v>
      </c>
      <c r="C297" s="4">
        <f t="shared" si="523"/>
        <v>0</v>
      </c>
      <c r="D297" s="4">
        <f t="shared" si="523"/>
        <v>0</v>
      </c>
      <c r="E297" s="4">
        <f t="shared" si="523"/>
        <v>0</v>
      </c>
      <c r="F297" s="4">
        <f t="shared" si="523"/>
        <v>0</v>
      </c>
      <c r="G297" s="4">
        <f t="shared" si="523"/>
        <v>0</v>
      </c>
      <c r="H297" s="4">
        <f t="shared" si="523"/>
        <v>0</v>
      </c>
      <c r="I297" s="4">
        <f t="shared" si="523"/>
        <v>0</v>
      </c>
      <c r="J297" s="4">
        <f t="shared" si="523"/>
        <v>0</v>
      </c>
      <c r="K297" s="4">
        <f t="shared" ref="K297:S297" si="528">IF($A108&gt;K$3,0,K171*$C$7)</f>
        <v>0</v>
      </c>
      <c r="L297" s="4">
        <f t="shared" si="528"/>
        <v>0</v>
      </c>
      <c r="M297" s="4">
        <f t="shared" si="528"/>
        <v>0</v>
      </c>
      <c r="N297" s="4">
        <f t="shared" si="528"/>
        <v>0</v>
      </c>
      <c r="O297" s="4">
        <f t="shared" si="528"/>
        <v>0</v>
      </c>
      <c r="P297" s="4">
        <f t="shared" si="528"/>
        <v>0</v>
      </c>
      <c r="Q297" s="4">
        <f t="shared" si="528"/>
        <v>0</v>
      </c>
      <c r="R297" s="4">
        <f t="shared" si="528"/>
        <v>0</v>
      </c>
      <c r="S297" s="4">
        <f t="shared" si="528"/>
        <v>0</v>
      </c>
      <c r="T297" s="4">
        <f t="shared" ref="T297:U297" si="529">IF($A108&gt;T$3,0,T171*$C$7)</f>
        <v>0</v>
      </c>
      <c r="U297" s="4">
        <f t="shared" si="529"/>
        <v>0</v>
      </c>
    </row>
    <row r="298" spans="1:21" x14ac:dyDescent="0.3">
      <c r="A298">
        <f t="shared" si="420"/>
        <v>54</v>
      </c>
      <c r="B298" s="1">
        <f>VLOOKUP(A298,dates!A:B,2,0)</f>
        <v>46569</v>
      </c>
      <c r="C298" s="4">
        <f t="shared" si="523"/>
        <v>0</v>
      </c>
      <c r="D298" s="4">
        <f t="shared" si="523"/>
        <v>0</v>
      </c>
      <c r="E298" s="4">
        <f t="shared" si="523"/>
        <v>0</v>
      </c>
      <c r="F298" s="4">
        <f t="shared" si="523"/>
        <v>0</v>
      </c>
      <c r="G298" s="4">
        <f t="shared" si="523"/>
        <v>0</v>
      </c>
      <c r="H298" s="4">
        <f t="shared" si="523"/>
        <v>0</v>
      </c>
      <c r="I298" s="4">
        <f t="shared" si="523"/>
        <v>0</v>
      </c>
      <c r="J298" s="4">
        <f t="shared" si="523"/>
        <v>0</v>
      </c>
      <c r="K298" s="4">
        <f t="shared" ref="K298:S298" si="530">IF($A109&gt;K$3,0,K172*$C$7)</f>
        <v>0</v>
      </c>
      <c r="L298" s="4">
        <f t="shared" si="530"/>
        <v>0</v>
      </c>
      <c r="M298" s="4">
        <f t="shared" si="530"/>
        <v>0</v>
      </c>
      <c r="N298" s="4">
        <f t="shared" si="530"/>
        <v>0</v>
      </c>
      <c r="O298" s="4">
        <f t="shared" si="530"/>
        <v>0</v>
      </c>
      <c r="P298" s="4">
        <f t="shared" si="530"/>
        <v>0</v>
      </c>
      <c r="Q298" s="4">
        <f t="shared" si="530"/>
        <v>0</v>
      </c>
      <c r="R298" s="4">
        <f t="shared" si="530"/>
        <v>0</v>
      </c>
      <c r="S298" s="4">
        <f t="shared" si="530"/>
        <v>0</v>
      </c>
      <c r="T298" s="4">
        <f t="shared" ref="T298:U298" si="531">IF($A109&gt;T$3,0,T172*$C$7)</f>
        <v>0</v>
      </c>
      <c r="U298" s="4">
        <f t="shared" si="531"/>
        <v>0</v>
      </c>
    </row>
    <row r="299" spans="1:21" x14ac:dyDescent="0.3">
      <c r="A299">
        <f t="shared" si="420"/>
        <v>55</v>
      </c>
      <c r="B299" s="1">
        <f>VLOOKUP(A299,dates!A:B,2,0)</f>
        <v>46600</v>
      </c>
      <c r="C299" s="4">
        <f t="shared" si="523"/>
        <v>0</v>
      </c>
      <c r="D299" s="4">
        <f t="shared" si="523"/>
        <v>0</v>
      </c>
      <c r="E299" s="4">
        <f t="shared" si="523"/>
        <v>0</v>
      </c>
      <c r="F299" s="4">
        <f t="shared" si="523"/>
        <v>0</v>
      </c>
      <c r="G299" s="4">
        <f t="shared" si="523"/>
        <v>0</v>
      </c>
      <c r="H299" s="4">
        <f t="shared" si="523"/>
        <v>0</v>
      </c>
      <c r="I299" s="4">
        <f t="shared" si="523"/>
        <v>0</v>
      </c>
      <c r="J299" s="4">
        <f t="shared" si="523"/>
        <v>0</v>
      </c>
      <c r="K299" s="4">
        <f t="shared" ref="K299:S299" si="532">IF($A110&gt;K$3,0,K173*$C$7)</f>
        <v>0</v>
      </c>
      <c r="L299" s="4">
        <f t="shared" si="532"/>
        <v>0</v>
      </c>
      <c r="M299" s="4">
        <f t="shared" si="532"/>
        <v>0</v>
      </c>
      <c r="N299" s="4">
        <f t="shared" si="532"/>
        <v>0</v>
      </c>
      <c r="O299" s="4">
        <f t="shared" si="532"/>
        <v>0</v>
      </c>
      <c r="P299" s="4">
        <f t="shared" si="532"/>
        <v>0</v>
      </c>
      <c r="Q299" s="4">
        <f t="shared" si="532"/>
        <v>0</v>
      </c>
      <c r="R299" s="4">
        <f t="shared" si="532"/>
        <v>0</v>
      </c>
      <c r="S299" s="4">
        <f t="shared" si="532"/>
        <v>0</v>
      </c>
      <c r="T299" s="4">
        <f t="shared" ref="T299:U299" si="533">IF($A110&gt;T$3,0,T173*$C$7)</f>
        <v>0</v>
      </c>
      <c r="U299" s="4">
        <f t="shared" si="533"/>
        <v>0</v>
      </c>
    </row>
    <row r="300" spans="1:21" x14ac:dyDescent="0.3">
      <c r="A300">
        <f t="shared" si="420"/>
        <v>56</v>
      </c>
      <c r="B300" s="1">
        <f>VLOOKUP(A300,dates!A:B,2,0)</f>
        <v>46631</v>
      </c>
      <c r="C300" s="4">
        <f t="shared" si="523"/>
        <v>0</v>
      </c>
      <c r="D300" s="4">
        <f t="shared" si="523"/>
        <v>0</v>
      </c>
      <c r="E300" s="4">
        <f t="shared" si="523"/>
        <v>0</v>
      </c>
      <c r="F300" s="4">
        <f t="shared" si="523"/>
        <v>0</v>
      </c>
      <c r="G300" s="4">
        <f t="shared" si="523"/>
        <v>0</v>
      </c>
      <c r="H300" s="4">
        <f t="shared" si="523"/>
        <v>0</v>
      </c>
      <c r="I300" s="4">
        <f t="shared" si="523"/>
        <v>0</v>
      </c>
      <c r="J300" s="4">
        <f t="shared" si="523"/>
        <v>0</v>
      </c>
      <c r="K300" s="4">
        <f t="shared" ref="K300:S300" si="534">IF($A111&gt;K$3,0,K174*$C$7)</f>
        <v>0</v>
      </c>
      <c r="L300" s="4">
        <f t="shared" si="534"/>
        <v>0</v>
      </c>
      <c r="M300" s="4">
        <f t="shared" si="534"/>
        <v>0</v>
      </c>
      <c r="N300" s="4">
        <f t="shared" si="534"/>
        <v>0</v>
      </c>
      <c r="O300" s="4">
        <f t="shared" si="534"/>
        <v>0</v>
      </c>
      <c r="P300" s="4">
        <f t="shared" si="534"/>
        <v>0</v>
      </c>
      <c r="Q300" s="4">
        <f t="shared" si="534"/>
        <v>0</v>
      </c>
      <c r="R300" s="4">
        <f t="shared" si="534"/>
        <v>0</v>
      </c>
      <c r="S300" s="4">
        <f t="shared" si="534"/>
        <v>0</v>
      </c>
      <c r="T300" s="4">
        <f t="shared" ref="T300:U300" si="535">IF($A111&gt;T$3,0,T174*$C$7)</f>
        <v>0</v>
      </c>
      <c r="U300" s="4">
        <f t="shared" si="535"/>
        <v>0</v>
      </c>
    </row>
    <row r="301" spans="1:21" x14ac:dyDescent="0.3">
      <c r="A301">
        <f t="shared" si="420"/>
        <v>57</v>
      </c>
      <c r="B301" s="1">
        <f>VLOOKUP(A301,dates!A:B,2,0)</f>
        <v>46661</v>
      </c>
      <c r="C301" s="4">
        <f t="shared" si="523"/>
        <v>0</v>
      </c>
      <c r="D301" s="4">
        <f t="shared" si="523"/>
        <v>0</v>
      </c>
      <c r="E301" s="4">
        <f t="shared" si="523"/>
        <v>0</v>
      </c>
      <c r="F301" s="4">
        <f t="shared" si="523"/>
        <v>0</v>
      </c>
      <c r="G301" s="4">
        <f t="shared" si="523"/>
        <v>0</v>
      </c>
      <c r="H301" s="4">
        <f t="shared" si="523"/>
        <v>0</v>
      </c>
      <c r="I301" s="4">
        <f t="shared" si="523"/>
        <v>0</v>
      </c>
      <c r="J301" s="4">
        <f t="shared" si="523"/>
        <v>0</v>
      </c>
      <c r="K301" s="4">
        <f t="shared" ref="K301:S301" si="536">IF($A112&gt;K$3,0,K175*$C$7)</f>
        <v>0</v>
      </c>
      <c r="L301" s="4">
        <f t="shared" si="536"/>
        <v>0</v>
      </c>
      <c r="M301" s="4">
        <f t="shared" si="536"/>
        <v>0</v>
      </c>
      <c r="N301" s="4">
        <f t="shared" si="536"/>
        <v>0</v>
      </c>
      <c r="O301" s="4">
        <f t="shared" si="536"/>
        <v>0</v>
      </c>
      <c r="P301" s="4">
        <f t="shared" si="536"/>
        <v>0</v>
      </c>
      <c r="Q301" s="4">
        <f t="shared" si="536"/>
        <v>0</v>
      </c>
      <c r="R301" s="4">
        <f t="shared" si="536"/>
        <v>0</v>
      </c>
      <c r="S301" s="4">
        <f t="shared" si="536"/>
        <v>0</v>
      </c>
      <c r="T301" s="4">
        <f t="shared" ref="T301:U301" si="537">IF($A112&gt;T$3,0,T175*$C$7)</f>
        <v>0</v>
      </c>
      <c r="U301" s="4">
        <f t="shared" si="537"/>
        <v>0</v>
      </c>
    </row>
    <row r="302" spans="1:21" x14ac:dyDescent="0.3">
      <c r="A302">
        <f t="shared" si="420"/>
        <v>58</v>
      </c>
      <c r="B302" s="1">
        <f>VLOOKUP(A302,dates!A:B,2,0)</f>
        <v>46692</v>
      </c>
      <c r="C302" s="4">
        <f t="shared" si="523"/>
        <v>0</v>
      </c>
      <c r="D302" s="4">
        <f t="shared" si="523"/>
        <v>0</v>
      </c>
      <c r="E302" s="4">
        <f t="shared" si="523"/>
        <v>0</v>
      </c>
      <c r="F302" s="4">
        <f t="shared" si="523"/>
        <v>0</v>
      </c>
      <c r="G302" s="4">
        <f t="shared" si="523"/>
        <v>0</v>
      </c>
      <c r="H302" s="4">
        <f t="shared" si="523"/>
        <v>0</v>
      </c>
      <c r="I302" s="4">
        <f t="shared" si="523"/>
        <v>0</v>
      </c>
      <c r="J302" s="4">
        <f t="shared" si="523"/>
        <v>0</v>
      </c>
      <c r="K302" s="4">
        <f t="shared" ref="K302:S302" si="538">IF($A113&gt;K$3,0,K176*$C$7)</f>
        <v>0</v>
      </c>
      <c r="L302" s="4">
        <f t="shared" si="538"/>
        <v>0</v>
      </c>
      <c r="M302" s="4">
        <f t="shared" si="538"/>
        <v>0</v>
      </c>
      <c r="N302" s="4">
        <f t="shared" si="538"/>
        <v>0</v>
      </c>
      <c r="O302" s="4">
        <f t="shared" si="538"/>
        <v>0</v>
      </c>
      <c r="P302" s="4">
        <f t="shared" si="538"/>
        <v>0</v>
      </c>
      <c r="Q302" s="4">
        <f t="shared" si="538"/>
        <v>0</v>
      </c>
      <c r="R302" s="4">
        <f t="shared" si="538"/>
        <v>0</v>
      </c>
      <c r="S302" s="4">
        <f t="shared" si="538"/>
        <v>0</v>
      </c>
      <c r="T302" s="4">
        <f t="shared" ref="T302:U302" si="539">IF($A113&gt;T$3,0,T176*$C$7)</f>
        <v>0</v>
      </c>
      <c r="U302" s="4">
        <f t="shared" si="539"/>
        <v>0</v>
      </c>
    </row>
    <row r="303" spans="1:21" x14ac:dyDescent="0.3">
      <c r="A303">
        <f t="shared" si="420"/>
        <v>59</v>
      </c>
      <c r="B303" s="1">
        <f>VLOOKUP(A303,dates!A:B,2,0)</f>
        <v>46722</v>
      </c>
      <c r="C303" s="4">
        <f t="shared" si="523"/>
        <v>0</v>
      </c>
      <c r="D303" s="4">
        <f t="shared" si="523"/>
        <v>0</v>
      </c>
      <c r="E303" s="4">
        <f t="shared" si="523"/>
        <v>0</v>
      </c>
      <c r="F303" s="4">
        <f t="shared" si="523"/>
        <v>0</v>
      </c>
      <c r="G303" s="4">
        <f t="shared" si="523"/>
        <v>0</v>
      </c>
      <c r="H303" s="4">
        <f t="shared" si="523"/>
        <v>0</v>
      </c>
      <c r="I303" s="4">
        <f t="shared" si="523"/>
        <v>0</v>
      </c>
      <c r="J303" s="4">
        <f t="shared" si="523"/>
        <v>0</v>
      </c>
      <c r="K303" s="4">
        <f t="shared" ref="K303:S303" si="540">IF($A114&gt;K$3,0,K177*$C$7)</f>
        <v>0</v>
      </c>
      <c r="L303" s="4">
        <f t="shared" si="540"/>
        <v>0</v>
      </c>
      <c r="M303" s="4">
        <f t="shared" si="540"/>
        <v>0</v>
      </c>
      <c r="N303" s="4">
        <f t="shared" si="540"/>
        <v>0</v>
      </c>
      <c r="O303" s="4">
        <f t="shared" si="540"/>
        <v>0</v>
      </c>
      <c r="P303" s="4">
        <f t="shared" si="540"/>
        <v>0</v>
      </c>
      <c r="Q303" s="4">
        <f t="shared" si="540"/>
        <v>0</v>
      </c>
      <c r="R303" s="4">
        <f t="shared" si="540"/>
        <v>0</v>
      </c>
      <c r="S303" s="4">
        <f t="shared" si="540"/>
        <v>0</v>
      </c>
      <c r="T303" s="4">
        <f t="shared" ref="T303:U303" si="541">IF($A114&gt;T$3,0,T177*$C$7)</f>
        <v>0</v>
      </c>
      <c r="U303" s="4">
        <f t="shared" si="541"/>
        <v>0</v>
      </c>
    </row>
    <row r="304" spans="1:21" x14ac:dyDescent="0.3">
      <c r="A304">
        <f t="shared" si="420"/>
        <v>60</v>
      </c>
      <c r="B304" s="1">
        <f>VLOOKUP(A304,dates!A:B,2,0)</f>
        <v>46753</v>
      </c>
      <c r="C304" s="4">
        <f t="shared" si="523"/>
        <v>0</v>
      </c>
      <c r="D304" s="4">
        <f t="shared" si="523"/>
        <v>0</v>
      </c>
      <c r="E304" s="4">
        <f t="shared" si="523"/>
        <v>0</v>
      </c>
      <c r="F304" s="4">
        <f t="shared" si="523"/>
        <v>0</v>
      </c>
      <c r="G304" s="4">
        <f t="shared" si="523"/>
        <v>0</v>
      </c>
      <c r="H304" s="4">
        <f t="shared" si="523"/>
        <v>0</v>
      </c>
      <c r="I304" s="4">
        <f t="shared" si="523"/>
        <v>0</v>
      </c>
      <c r="J304" s="4">
        <f t="shared" si="523"/>
        <v>0</v>
      </c>
      <c r="K304" s="4">
        <f t="shared" ref="K304:S304" si="542">IF($A115&gt;K$3,0,K178*$C$7)</f>
        <v>0</v>
      </c>
      <c r="L304" s="4">
        <f t="shared" si="542"/>
        <v>0</v>
      </c>
      <c r="M304" s="4">
        <f t="shared" si="542"/>
        <v>0</v>
      </c>
      <c r="N304" s="4">
        <f t="shared" si="542"/>
        <v>0</v>
      </c>
      <c r="O304" s="4">
        <f t="shared" si="542"/>
        <v>0</v>
      </c>
      <c r="P304" s="4">
        <f t="shared" si="542"/>
        <v>0</v>
      </c>
      <c r="Q304" s="4">
        <f t="shared" si="542"/>
        <v>0</v>
      </c>
      <c r="R304" s="4">
        <f t="shared" si="542"/>
        <v>0</v>
      </c>
      <c r="S304" s="4">
        <f t="shared" si="542"/>
        <v>0</v>
      </c>
      <c r="T304" s="4">
        <f t="shared" ref="T304:U304" si="543">IF($A115&gt;T$3,0,T178*$C$7)</f>
        <v>0</v>
      </c>
      <c r="U304" s="4">
        <f t="shared" si="543"/>
        <v>0</v>
      </c>
    </row>
    <row r="306" spans="1:21" x14ac:dyDescent="0.3">
      <c r="A306" t="s">
        <v>14</v>
      </c>
      <c r="B306" t="s">
        <v>13</v>
      </c>
      <c r="C306" s="3" t="s">
        <v>9</v>
      </c>
      <c r="D306" s="3" t="s">
        <v>9</v>
      </c>
      <c r="E306" s="3" t="s">
        <v>9</v>
      </c>
      <c r="F306" s="3" t="s">
        <v>9</v>
      </c>
      <c r="G306" s="3" t="s">
        <v>9</v>
      </c>
      <c r="H306" s="3" t="s">
        <v>9</v>
      </c>
      <c r="I306" s="3" t="s">
        <v>9</v>
      </c>
      <c r="J306" s="3" t="s">
        <v>9</v>
      </c>
      <c r="K306" s="3" t="s">
        <v>9</v>
      </c>
      <c r="L306" s="3" t="s">
        <v>9</v>
      </c>
      <c r="M306" s="3" t="s">
        <v>9</v>
      </c>
      <c r="N306" s="3" t="s">
        <v>9</v>
      </c>
      <c r="O306" s="3" t="s">
        <v>9</v>
      </c>
      <c r="P306" s="3" t="s">
        <v>9</v>
      </c>
      <c r="Q306" s="3" t="s">
        <v>9</v>
      </c>
      <c r="R306" s="3" t="s">
        <v>9</v>
      </c>
      <c r="S306" s="3" t="s">
        <v>9</v>
      </c>
      <c r="T306" s="3" t="s">
        <v>9</v>
      </c>
      <c r="U306" s="3" t="s">
        <v>9</v>
      </c>
    </row>
    <row r="307" spans="1:21" x14ac:dyDescent="0.3">
      <c r="A307">
        <v>0</v>
      </c>
      <c r="B307" s="1">
        <f>VLOOKUP(A307,dates!A:B,2,0)</f>
        <v>44927</v>
      </c>
    </row>
    <row r="308" spans="1:21" x14ac:dyDescent="0.3">
      <c r="A308">
        <v>1</v>
      </c>
      <c r="B308" s="1">
        <f>VLOOKUP(A308,dates!A:B,2,0)</f>
        <v>44958</v>
      </c>
      <c r="C308" s="4">
        <f t="shared" ref="C308:J308" si="544">IF($A56&gt;C$3,0,C$15-C182-C245)</f>
        <v>3390.3731250220035</v>
      </c>
      <c r="D308" s="4">
        <f t="shared" si="544"/>
        <v>1713.3161497197232</v>
      </c>
      <c r="E308" s="4">
        <f t="shared" si="544"/>
        <v>1154.5768344976202</v>
      </c>
      <c r="F308" s="4">
        <f t="shared" si="544"/>
        <v>1042.8848762922273</v>
      </c>
      <c r="G308" s="4">
        <f t="shared" si="544"/>
        <v>875.41677692285066</v>
      </c>
      <c r="H308" s="4">
        <f t="shared" si="544"/>
        <v>708.08824633842767</v>
      </c>
      <c r="I308" s="4">
        <f t="shared" si="544"/>
        <v>596.67529087365426</v>
      </c>
      <c r="J308" s="4">
        <f t="shared" si="544"/>
        <v>457.72202224172042</v>
      </c>
      <c r="K308" s="4">
        <f t="shared" ref="K308:S308" si="545">IF($A56&gt;K$3,0,K$15-K182-K245)</f>
        <v>319.59871528327545</v>
      </c>
      <c r="L308" s="4">
        <f t="shared" si="545"/>
        <v>3390.3731250220035</v>
      </c>
      <c r="M308" s="4">
        <f t="shared" si="545"/>
        <v>1738.0557461137623</v>
      </c>
      <c r="N308" s="4">
        <f t="shared" si="545"/>
        <v>1187.7249631867628</v>
      </c>
      <c r="O308" s="4">
        <f t="shared" si="545"/>
        <v>1077.7582286511106</v>
      </c>
      <c r="P308" s="4">
        <f t="shared" si="545"/>
        <v>912.94032085746596</v>
      </c>
      <c r="Q308" s="4">
        <f t="shared" si="545"/>
        <v>748.30338762332417</v>
      </c>
      <c r="R308" s="4">
        <f t="shared" si="545"/>
        <v>638.82034434913555</v>
      </c>
      <c r="S308" s="4">
        <f t="shared" si="545"/>
        <v>502.42089981886613</v>
      </c>
      <c r="T308" s="4">
        <f t="shared" ref="T308:U308" si="546">IF($A56&gt;T$3,0,T$15-T182-T245)</f>
        <v>367.40173157505222</v>
      </c>
      <c r="U308" s="4">
        <f t="shared" si="546"/>
        <v>783.61773827916966</v>
      </c>
    </row>
    <row r="309" spans="1:21" x14ac:dyDescent="0.3">
      <c r="A309">
        <f t="shared" ref="A309:A367" si="547">A308+1</f>
        <v>2</v>
      </c>
      <c r="B309" s="1">
        <f>VLOOKUP(A309,dates!A:B,2,0)</f>
        <v>44986</v>
      </c>
      <c r="C309" s="4">
        <f t="shared" ref="C309:D367" si="548">IF($A57&gt;C$3,0,C$15-C183-C246)</f>
        <v>3400.5442443970696</v>
      </c>
      <c r="D309" s="4">
        <f t="shared" si="548"/>
        <v>1718.4560981688821</v>
      </c>
      <c r="E309" s="4">
        <f t="shared" ref="E309:F309" si="549">IF($A57&gt;E$3,0,E$15-E183-E246)</f>
        <v>1158.0405650011132</v>
      </c>
      <c r="F309" s="4">
        <f t="shared" si="549"/>
        <v>1046.0135309211039</v>
      </c>
      <c r="G309" s="4">
        <f t="shared" ref="G309:J309" si="550">IF($A57&gt;G$3,0,G$15-G183-G246)</f>
        <v>878.04302725361913</v>
      </c>
      <c r="H309" s="4">
        <f t="shared" si="550"/>
        <v>710.21251107744285</v>
      </c>
      <c r="I309" s="4">
        <f t="shared" si="550"/>
        <v>598.46531674627533</v>
      </c>
      <c r="J309" s="4">
        <f t="shared" si="550"/>
        <v>459.09518830844559</v>
      </c>
      <c r="K309" s="4">
        <f t="shared" ref="K309:S309" si="551">IF($A57&gt;K$3,0,K$15-K183-K246)</f>
        <v>320.55751142912533</v>
      </c>
      <c r="L309" s="4">
        <f t="shared" si="551"/>
        <v>3400.5442443970696</v>
      </c>
      <c r="M309" s="4">
        <f t="shared" si="551"/>
        <v>1743.2699133521037</v>
      </c>
      <c r="N309" s="4">
        <f t="shared" si="551"/>
        <v>1191.2881380763231</v>
      </c>
      <c r="O309" s="4">
        <f t="shared" si="551"/>
        <v>1080.9915033370639</v>
      </c>
      <c r="P309" s="4">
        <f t="shared" si="551"/>
        <v>915.67914182003835</v>
      </c>
      <c r="Q309" s="4">
        <f t="shared" si="551"/>
        <v>750.5482977861941</v>
      </c>
      <c r="R309" s="4">
        <f t="shared" si="551"/>
        <v>640.73680538218298</v>
      </c>
      <c r="S309" s="4">
        <f t="shared" si="551"/>
        <v>503.92816251832272</v>
      </c>
      <c r="T309" s="4">
        <f t="shared" ref="T309:U309" si="552">IF($A57&gt;T$3,0,T$15-T183-T246)</f>
        <v>368.50393676977734</v>
      </c>
      <c r="U309" s="4">
        <f t="shared" si="552"/>
        <v>785.96859149400723</v>
      </c>
    </row>
    <row r="310" spans="1:21" x14ac:dyDescent="0.3">
      <c r="A310">
        <f t="shared" si="547"/>
        <v>3</v>
      </c>
      <c r="B310" s="1">
        <f>VLOOKUP(A310,dates!A:B,2,0)</f>
        <v>45017</v>
      </c>
      <c r="C310" s="4">
        <f t="shared" si="548"/>
        <v>3410.7458771302609</v>
      </c>
      <c r="D310" s="4">
        <f t="shared" si="548"/>
        <v>1723.611466463389</v>
      </c>
      <c r="E310" s="4">
        <f t="shared" ref="E310:F310" si="553">IF($A58&gt;E$3,0,E$15-E184-E247)</f>
        <v>1161.5146866961165</v>
      </c>
      <c r="F310" s="4">
        <f t="shared" si="553"/>
        <v>1049.1515715138673</v>
      </c>
      <c r="G310" s="4">
        <f t="shared" ref="G310:J310" si="554">IF($A58&gt;G$3,0,G$15-G184-G247)</f>
        <v>880.67715633538</v>
      </c>
      <c r="H310" s="4">
        <f t="shared" si="554"/>
        <v>712.34314861067526</v>
      </c>
      <c r="I310" s="4">
        <f t="shared" si="554"/>
        <v>600.26071269651413</v>
      </c>
      <c r="J310" s="4">
        <f t="shared" si="554"/>
        <v>460.47247387337097</v>
      </c>
      <c r="K310" s="4">
        <f t="shared" ref="K310:S310" si="555">IF($A58&gt;K$3,0,K$15-K184-K247)</f>
        <v>321.51918396341267</v>
      </c>
      <c r="L310" s="4">
        <f t="shared" si="555"/>
        <v>3410.7458771302609</v>
      </c>
      <c r="M310" s="4">
        <f t="shared" si="555"/>
        <v>1748.4997230921599</v>
      </c>
      <c r="N310" s="4">
        <f t="shared" si="555"/>
        <v>1194.862002490552</v>
      </c>
      <c r="O310" s="4">
        <f t="shared" si="555"/>
        <v>1084.2344778470751</v>
      </c>
      <c r="P310" s="4">
        <f t="shared" si="555"/>
        <v>918.42617924549847</v>
      </c>
      <c r="Q310" s="4">
        <f t="shared" si="555"/>
        <v>752.79994267955271</v>
      </c>
      <c r="R310" s="4">
        <f t="shared" si="555"/>
        <v>642.65901579832951</v>
      </c>
      <c r="S310" s="4">
        <f t="shared" si="555"/>
        <v>505.43994700587774</v>
      </c>
      <c r="T310" s="4">
        <f t="shared" ref="T310:U310" si="556">IF($A58&gt;T$3,0,T$15-T184-T247)</f>
        <v>369.60944858008673</v>
      </c>
      <c r="U310" s="4">
        <f t="shared" si="556"/>
        <v>788.32649726848911</v>
      </c>
    </row>
    <row r="311" spans="1:21" x14ac:dyDescent="0.3">
      <c r="A311">
        <f t="shared" si="547"/>
        <v>4</v>
      </c>
      <c r="B311" s="1">
        <f>VLOOKUP(A311,dates!A:B,2,0)</f>
        <v>45047</v>
      </c>
      <c r="C311" s="4">
        <f t="shared" si="548"/>
        <v>0</v>
      </c>
      <c r="D311" s="4">
        <f t="shared" si="548"/>
        <v>1728.782300862779</v>
      </c>
      <c r="E311" s="4">
        <f t="shared" ref="E311:F311" si="557">IF($A59&gt;E$3,0,E$15-E185-E248)</f>
        <v>1164.999230756205</v>
      </c>
      <c r="F311" s="4">
        <f t="shared" si="557"/>
        <v>1052.299026228409</v>
      </c>
      <c r="G311" s="4">
        <f t="shared" ref="G311:J311" si="558">IF($A59&gt;G$3,0,G$15-G185-G248)</f>
        <v>883.31918780438627</v>
      </c>
      <c r="H311" s="4">
        <f t="shared" si="558"/>
        <v>714.48017805650727</v>
      </c>
      <c r="I311" s="4">
        <f t="shared" si="558"/>
        <v>602.06149483460365</v>
      </c>
      <c r="J311" s="4">
        <f t="shared" si="558"/>
        <v>461.85389129499106</v>
      </c>
      <c r="K311" s="4">
        <f t="shared" ref="K311:S311" si="559">IF($A59&gt;K$3,0,K$15-K185-K248)</f>
        <v>322.48374151530294</v>
      </c>
      <c r="L311" s="4">
        <f t="shared" si="559"/>
        <v>0</v>
      </c>
      <c r="M311" s="4">
        <f t="shared" si="559"/>
        <v>1753.7452222614365</v>
      </c>
      <c r="N311" s="4">
        <f t="shared" si="559"/>
        <v>1198.4465884980239</v>
      </c>
      <c r="O311" s="4">
        <f t="shared" si="559"/>
        <v>1087.4871812806164</v>
      </c>
      <c r="P311" s="4">
        <f t="shared" si="559"/>
        <v>921.18145778323503</v>
      </c>
      <c r="Q311" s="4">
        <f t="shared" si="559"/>
        <v>755.05834250759131</v>
      </c>
      <c r="R311" s="4">
        <f t="shared" si="559"/>
        <v>644.58699284572447</v>
      </c>
      <c r="S311" s="4">
        <f t="shared" si="559"/>
        <v>506.95626684689535</v>
      </c>
      <c r="T311" s="4">
        <f t="shared" ref="T311:U311" si="560">IF($A59&gt;T$3,0,T$15-T185-T248)</f>
        <v>370.71827692582696</v>
      </c>
      <c r="U311" s="4">
        <f t="shared" si="560"/>
        <v>790.69147676029468</v>
      </c>
    </row>
    <row r="312" spans="1:21" x14ac:dyDescent="0.3">
      <c r="A312">
        <f t="shared" si="547"/>
        <v>5</v>
      </c>
      <c r="B312" s="1">
        <f>VLOOKUP(A312,dates!A:B,2,0)</f>
        <v>45078</v>
      </c>
      <c r="C312" s="4">
        <f t="shared" si="548"/>
        <v>0</v>
      </c>
      <c r="D312" s="4">
        <f t="shared" si="548"/>
        <v>1733.9686477653675</v>
      </c>
      <c r="E312" s="4">
        <f t="shared" ref="E312:F312" si="561">IF($A60&gt;E$3,0,E$15-E186-E249)</f>
        <v>1168.4942284484735</v>
      </c>
      <c r="F312" s="4">
        <f t="shared" si="561"/>
        <v>1055.4559233070943</v>
      </c>
      <c r="G312" s="4">
        <f t="shared" ref="G312:J312" si="562">IF($A60&gt;G$3,0,G$15-G186-G249)</f>
        <v>885.96914536779946</v>
      </c>
      <c r="H312" s="4">
        <f t="shared" si="562"/>
        <v>716.62361859067676</v>
      </c>
      <c r="I312" s="4">
        <f t="shared" si="562"/>
        <v>603.86767931910742</v>
      </c>
      <c r="J312" s="4">
        <f t="shared" si="562"/>
        <v>463.23945296887598</v>
      </c>
      <c r="K312" s="4">
        <f t="shared" ref="K312:S312" si="563">IF($A60&gt;K$3,0,K$15-K186-K249)</f>
        <v>323.45119273984875</v>
      </c>
      <c r="L312" s="4">
        <f t="shared" si="563"/>
        <v>0</v>
      </c>
      <c r="M312" s="4">
        <f t="shared" si="563"/>
        <v>1759.0064579282207</v>
      </c>
      <c r="N312" s="4">
        <f t="shared" si="563"/>
        <v>1202.0419282635178</v>
      </c>
      <c r="O312" s="4">
        <f t="shared" si="563"/>
        <v>1090.7496428244581</v>
      </c>
      <c r="P312" s="4">
        <f t="shared" si="563"/>
        <v>923.94500215658456</v>
      </c>
      <c r="Q312" s="4">
        <f t="shared" si="563"/>
        <v>757.32351753511421</v>
      </c>
      <c r="R312" s="4">
        <f t="shared" si="563"/>
        <v>646.52075382426176</v>
      </c>
      <c r="S312" s="4">
        <f t="shared" si="563"/>
        <v>508.47713564743606</v>
      </c>
      <c r="T312" s="4">
        <f t="shared" ref="T312:U312" si="564">IF($A60&gt;T$3,0,T$15-T186-T249)</f>
        <v>371.83043175660447</v>
      </c>
      <c r="U312" s="4">
        <f t="shared" si="564"/>
        <v>793.06355119057559</v>
      </c>
    </row>
    <row r="313" spans="1:21" x14ac:dyDescent="0.3">
      <c r="A313">
        <f t="shared" si="547"/>
        <v>6</v>
      </c>
      <c r="B313" s="1">
        <f>VLOOKUP(A313,dates!A:B,2,0)</f>
        <v>45108</v>
      </c>
      <c r="C313" s="4">
        <f t="shared" si="548"/>
        <v>0</v>
      </c>
      <c r="D313" s="4">
        <f t="shared" si="548"/>
        <v>1739.1705537086634</v>
      </c>
      <c r="E313" s="4">
        <f t="shared" ref="E313:F313" si="565">IF($A61&gt;E$3,0,E$15-E187-E250)</f>
        <v>1171.9997111338187</v>
      </c>
      <c r="F313" s="4">
        <f t="shared" si="565"/>
        <v>1058.6222910770155</v>
      </c>
      <c r="G313" s="4">
        <f t="shared" ref="G313:J313" si="566">IF($A61&gt;G$3,0,G$15-G187-G250)</f>
        <v>888.62705280390287</v>
      </c>
      <c r="H313" s="4">
        <f t="shared" si="566"/>
        <v>718.77348944644893</v>
      </c>
      <c r="I313" s="4">
        <f t="shared" si="566"/>
        <v>605.67928235706484</v>
      </c>
      <c r="J313" s="4">
        <f t="shared" si="566"/>
        <v>464.62917132778261</v>
      </c>
      <c r="K313" s="4">
        <f t="shared" ref="K313:S313" si="567">IF($A61&gt;K$3,0,K$15-K187-K250)</f>
        <v>324.42154631806835</v>
      </c>
      <c r="L313" s="4">
        <f t="shared" si="567"/>
        <v>0</v>
      </c>
      <c r="M313" s="4">
        <f t="shared" si="567"/>
        <v>1764.2834773020054</v>
      </c>
      <c r="N313" s="4">
        <f t="shared" si="567"/>
        <v>1205.6480540483083</v>
      </c>
      <c r="O313" s="4">
        <f t="shared" si="567"/>
        <v>1094.0218917529314</v>
      </c>
      <c r="P313" s="4">
        <f t="shared" si="567"/>
        <v>926.71683716305449</v>
      </c>
      <c r="Q313" s="4">
        <f t="shared" si="567"/>
        <v>759.59548808771956</v>
      </c>
      <c r="R313" s="4">
        <f t="shared" si="567"/>
        <v>648.46031608573446</v>
      </c>
      <c r="S313" s="4">
        <f t="shared" si="567"/>
        <v>510.00256705437835</v>
      </c>
      <c r="T313" s="4">
        <f t="shared" ref="T313:U313" si="568">IF($A61&gt;T$3,0,T$15-T187-T250)</f>
        <v>372.94592305187422</v>
      </c>
      <c r="U313" s="4">
        <f t="shared" si="568"/>
        <v>795.44274184414724</v>
      </c>
    </row>
    <row r="314" spans="1:21" x14ac:dyDescent="0.3">
      <c r="A314">
        <f t="shared" si="547"/>
        <v>7</v>
      </c>
      <c r="B314" s="1">
        <f>VLOOKUP(A314,dates!A:B,2,0)</f>
        <v>45139</v>
      </c>
      <c r="C314" s="4">
        <f t="shared" si="548"/>
        <v>0</v>
      </c>
      <c r="D314" s="4">
        <f t="shared" si="548"/>
        <v>0</v>
      </c>
      <c r="E314" s="4">
        <f t="shared" ref="E314:F314" si="569">IF($A62&gt;E$3,0,E$15-E188-E251)</f>
        <v>1175.5157102672204</v>
      </c>
      <c r="F314" s="4">
        <f t="shared" si="569"/>
        <v>1061.7981579502464</v>
      </c>
      <c r="G314" s="4">
        <f t="shared" ref="G314:J314" si="570">IF($A62&gt;G$3,0,G$15-G188-G251)</f>
        <v>891.29293396231446</v>
      </c>
      <c r="H314" s="4">
        <f t="shared" si="570"/>
        <v>720.92980991478828</v>
      </c>
      <c r="I314" s="4">
        <f t="shared" si="570"/>
        <v>607.49632020413594</v>
      </c>
      <c r="J314" s="4">
        <f t="shared" si="570"/>
        <v>466.02305884176599</v>
      </c>
      <c r="K314" s="4">
        <f t="shared" ref="K314:S314" si="571">IF($A62&gt;K$3,0,K$15-K188-K251)</f>
        <v>325.39481095702257</v>
      </c>
      <c r="L314" s="4">
        <f t="shared" si="571"/>
        <v>0</v>
      </c>
      <c r="M314" s="4">
        <f t="shared" si="571"/>
        <v>0</v>
      </c>
      <c r="N314" s="4">
        <f t="shared" si="571"/>
        <v>1209.2649982104533</v>
      </c>
      <c r="O314" s="4">
        <f t="shared" si="571"/>
        <v>1097.3039574281902</v>
      </c>
      <c r="P314" s="4">
        <f t="shared" si="571"/>
        <v>929.49698767454367</v>
      </c>
      <c r="Q314" s="4">
        <f t="shared" si="571"/>
        <v>761.87427455198258</v>
      </c>
      <c r="R314" s="4">
        <f t="shared" si="571"/>
        <v>650.40569703399171</v>
      </c>
      <c r="S314" s="4">
        <f t="shared" si="571"/>
        <v>511.53257475554148</v>
      </c>
      <c r="T314" s="4">
        <f t="shared" ref="T314:U314" si="572">IF($A62&gt;T$3,0,T$15-T188-T251)</f>
        <v>374.06476082102989</v>
      </c>
      <c r="U314" s="4">
        <f t="shared" si="572"/>
        <v>797.82907006967969</v>
      </c>
    </row>
    <row r="315" spans="1:21" x14ac:dyDescent="0.3">
      <c r="A315">
        <f t="shared" si="547"/>
        <v>8</v>
      </c>
      <c r="B315" s="1">
        <f>VLOOKUP(A315,dates!A:B,2,0)</f>
        <v>45170</v>
      </c>
      <c r="C315" s="4">
        <f t="shared" si="548"/>
        <v>0</v>
      </c>
      <c r="D315" s="4">
        <f t="shared" si="548"/>
        <v>0</v>
      </c>
      <c r="E315" s="4">
        <f t="shared" ref="E315:F315" si="573">IF($A63&gt;E$3,0,E$15-E189-E252)</f>
        <v>1179.042257398022</v>
      </c>
      <c r="F315" s="4">
        <f t="shared" si="573"/>
        <v>1064.9835524240973</v>
      </c>
      <c r="G315" s="4">
        <f t="shared" ref="G315:J315" si="574">IF($A63&gt;G$3,0,G$15-G189-G252)</f>
        <v>893.96681276420145</v>
      </c>
      <c r="H315" s="4">
        <f t="shared" si="574"/>
        <v>723.09259934453246</v>
      </c>
      <c r="I315" s="4">
        <f t="shared" si="574"/>
        <v>609.31880916474836</v>
      </c>
      <c r="J315" s="4">
        <f t="shared" si="574"/>
        <v>467.42112801829126</v>
      </c>
      <c r="K315" s="4">
        <f t="shared" ref="K315:S315" si="575">IF($A63&gt;K$3,0,K$15-K189-K252)</f>
        <v>326.37099538989361</v>
      </c>
      <c r="L315" s="4">
        <f t="shared" si="575"/>
        <v>0</v>
      </c>
      <c r="M315" s="4">
        <f t="shared" si="575"/>
        <v>0</v>
      </c>
      <c r="N315" s="4">
        <f t="shared" si="575"/>
        <v>1212.8927932050844</v>
      </c>
      <c r="O315" s="4">
        <f t="shared" si="575"/>
        <v>1100.595869300475</v>
      </c>
      <c r="P315" s="4">
        <f t="shared" si="575"/>
        <v>932.28547863756728</v>
      </c>
      <c r="Q315" s="4">
        <f t="shared" si="575"/>
        <v>764.15989737563859</v>
      </c>
      <c r="R315" s="4">
        <f t="shared" si="575"/>
        <v>652.35691412509357</v>
      </c>
      <c r="S315" s="4">
        <f t="shared" si="575"/>
        <v>513.06717247980816</v>
      </c>
      <c r="T315" s="4">
        <f t="shared" ref="T315:U315" si="576">IF($A63&gt;T$3,0,T$15-T189-T252)</f>
        <v>375.18695510349295</v>
      </c>
      <c r="U315" s="4">
        <f t="shared" si="576"/>
        <v>800.22255727988875</v>
      </c>
    </row>
    <row r="316" spans="1:21" x14ac:dyDescent="0.3">
      <c r="A316">
        <f t="shared" si="547"/>
        <v>9</v>
      </c>
      <c r="B316" s="1">
        <f>VLOOKUP(A316,dates!A:B,2,0)</f>
        <v>45200</v>
      </c>
      <c r="C316" s="4">
        <f t="shared" si="548"/>
        <v>0</v>
      </c>
      <c r="D316" s="4">
        <f t="shared" si="548"/>
        <v>0</v>
      </c>
      <c r="E316" s="4">
        <f t="shared" ref="E316:F316" si="577">IF($A64&gt;E$3,0,E$15-E190-E253)</f>
        <v>1182.5793841702159</v>
      </c>
      <c r="F316" s="4">
        <f t="shared" si="577"/>
        <v>1068.1785030813696</v>
      </c>
      <c r="G316" s="4">
        <f t="shared" ref="G316:J316" si="578">IF($A64&gt;G$3,0,G$15-G190-G253)</f>
        <v>896.64871320249404</v>
      </c>
      <c r="H316" s="4">
        <f t="shared" si="578"/>
        <v>725.26187714256628</v>
      </c>
      <c r="I316" s="4">
        <f t="shared" si="578"/>
        <v>611.14676559224256</v>
      </c>
      <c r="J316" s="4">
        <f t="shared" si="578"/>
        <v>468.82339140234615</v>
      </c>
      <c r="K316" s="4">
        <f t="shared" ref="K316:S316" si="579">IF($A64&gt;K$3,0,K$15-K190-K253)</f>
        <v>327.35010837606336</v>
      </c>
      <c r="L316" s="4">
        <f t="shared" si="579"/>
        <v>0</v>
      </c>
      <c r="M316" s="4">
        <f t="shared" si="579"/>
        <v>0</v>
      </c>
      <c r="N316" s="4">
        <f t="shared" si="579"/>
        <v>1216.5314715847001</v>
      </c>
      <c r="O316" s="4">
        <f t="shared" si="579"/>
        <v>1103.8976569083761</v>
      </c>
      <c r="P316" s="4">
        <f t="shared" si="579"/>
        <v>935.08233507347984</v>
      </c>
      <c r="Q316" s="4">
        <f t="shared" si="579"/>
        <v>766.45237706776561</v>
      </c>
      <c r="R316" s="4">
        <f t="shared" si="579"/>
        <v>654.313984867469</v>
      </c>
      <c r="S316" s="4">
        <f t="shared" si="579"/>
        <v>514.60637399724749</v>
      </c>
      <c r="T316" s="4">
        <f t="shared" ref="T316:U316" si="580">IF($A64&gt;T$3,0,T$15-T190-T253)</f>
        <v>376.31251596880344</v>
      </c>
      <c r="U316" s="4">
        <f t="shared" si="580"/>
        <v>802.6232249517285</v>
      </c>
    </row>
    <row r="317" spans="1:21" x14ac:dyDescent="0.3">
      <c r="A317">
        <f t="shared" si="547"/>
        <v>10</v>
      </c>
      <c r="B317" s="1">
        <f>VLOOKUP(A317,dates!A:B,2,0)</f>
        <v>45231</v>
      </c>
      <c r="C317" s="4">
        <f t="shared" si="548"/>
        <v>0</v>
      </c>
      <c r="D317" s="4">
        <f t="shared" si="548"/>
        <v>0</v>
      </c>
      <c r="E317" s="4">
        <f t="shared" ref="E317:F317" si="581">IF($A65&gt;E$3,0,E$15-E191-E254)</f>
        <v>0</v>
      </c>
      <c r="F317" s="4">
        <f t="shared" si="581"/>
        <v>1071.3830385906138</v>
      </c>
      <c r="G317" s="4">
        <f t="shared" ref="G317:J317" si="582">IF($A65&gt;G$3,0,G$15-G191-G254)</f>
        <v>899.33865934210144</v>
      </c>
      <c r="H317" s="4">
        <f t="shared" si="582"/>
        <v>727.43766277399379</v>
      </c>
      <c r="I317" s="4">
        <f t="shared" si="582"/>
        <v>612.9802058890192</v>
      </c>
      <c r="J317" s="4">
        <f t="shared" si="582"/>
        <v>470.22986157655316</v>
      </c>
      <c r="K317" s="4">
        <f t="shared" ref="K317:S317" si="583">IF($A65&gt;K$3,0,K$15-K191-K254)</f>
        <v>328.33215870119153</v>
      </c>
      <c r="L317" s="4">
        <f t="shared" si="583"/>
        <v>0</v>
      </c>
      <c r="M317" s="4">
        <f t="shared" si="583"/>
        <v>0</v>
      </c>
      <c r="N317" s="4">
        <f t="shared" si="583"/>
        <v>0</v>
      </c>
      <c r="O317" s="4">
        <f t="shared" si="583"/>
        <v>1107.2093498791014</v>
      </c>
      <c r="P317" s="4">
        <f t="shared" si="583"/>
        <v>937.88758207870035</v>
      </c>
      <c r="Q317" s="4">
        <f t="shared" si="583"/>
        <v>768.75173419896873</v>
      </c>
      <c r="R317" s="4">
        <f t="shared" si="583"/>
        <v>656.27692682207123</v>
      </c>
      <c r="S317" s="4">
        <f t="shared" si="583"/>
        <v>516.15019311923936</v>
      </c>
      <c r="T317" s="4">
        <f t="shared" ref="T317:U317" si="584">IF($A65&gt;T$3,0,T$15-T191-T254)</f>
        <v>377.44145351670983</v>
      </c>
      <c r="U317" s="4">
        <f t="shared" si="584"/>
        <v>805.03109462658369</v>
      </c>
    </row>
    <row r="318" spans="1:21" x14ac:dyDescent="0.3">
      <c r="A318">
        <f t="shared" si="547"/>
        <v>11</v>
      </c>
      <c r="B318" s="1">
        <f>VLOOKUP(A318,dates!A:B,2,0)</f>
        <v>45261</v>
      </c>
      <c r="C318" s="4">
        <f t="shared" si="548"/>
        <v>0</v>
      </c>
      <c r="D318" s="4">
        <f t="shared" si="548"/>
        <v>0</v>
      </c>
      <c r="E318" s="4">
        <f t="shared" ref="E318:F318" si="585">IF($A66&gt;E$3,0,E$15-E192-E255)</f>
        <v>0</v>
      </c>
      <c r="F318" s="4">
        <f t="shared" si="585"/>
        <v>0</v>
      </c>
      <c r="G318" s="4">
        <f t="shared" ref="G318:J318" si="586">IF($A66&gt;G$3,0,G$15-G192-G255)</f>
        <v>902.03667532012787</v>
      </c>
      <c r="H318" s="4">
        <f t="shared" si="586"/>
        <v>729.6199757623159</v>
      </c>
      <c r="I318" s="4">
        <f t="shared" si="586"/>
        <v>614.81914650668625</v>
      </c>
      <c r="J318" s="4">
        <f t="shared" si="586"/>
        <v>471.64055116128281</v>
      </c>
      <c r="K318" s="4">
        <f t="shared" ref="K318:S318" si="587">IF($A66&gt;K$3,0,K$15-K192-K255)</f>
        <v>329.31715517729509</v>
      </c>
      <c r="L318" s="4">
        <f t="shared" si="587"/>
        <v>0</v>
      </c>
      <c r="M318" s="4">
        <f t="shared" si="587"/>
        <v>0</v>
      </c>
      <c r="N318" s="4">
        <f t="shared" si="587"/>
        <v>0</v>
      </c>
      <c r="O318" s="4">
        <f t="shared" si="587"/>
        <v>0</v>
      </c>
      <c r="P318" s="4">
        <f t="shared" si="587"/>
        <v>940.70124482493645</v>
      </c>
      <c r="Q318" s="4">
        <f t="shared" si="587"/>
        <v>771.05798940156569</v>
      </c>
      <c r="R318" s="4">
        <f t="shared" si="587"/>
        <v>658.24575760253754</v>
      </c>
      <c r="S318" s="4">
        <f t="shared" si="587"/>
        <v>517.69864369859704</v>
      </c>
      <c r="T318" s="4">
        <f t="shared" ref="T318:U318" si="588">IF($A66&gt;T$3,0,T$15-T192-T255)</f>
        <v>378.57377787725994</v>
      </c>
      <c r="U318" s="4">
        <f t="shared" si="588"/>
        <v>807.44618791046344</v>
      </c>
    </row>
    <row r="319" spans="1:21" x14ac:dyDescent="0.3">
      <c r="A319">
        <f t="shared" si="547"/>
        <v>12</v>
      </c>
      <c r="B319" s="1">
        <f>VLOOKUP(A319,dates!A:B,2,0)</f>
        <v>45292</v>
      </c>
      <c r="C319" s="4">
        <f t="shared" si="548"/>
        <v>0</v>
      </c>
      <c r="D319" s="4">
        <f t="shared" si="548"/>
        <v>0</v>
      </c>
      <c r="E319" s="4">
        <f t="shared" ref="E319:F319" si="589">IF($A67&gt;E$3,0,E$15-E193-E256)</f>
        <v>0</v>
      </c>
      <c r="F319" s="4">
        <f t="shared" si="589"/>
        <v>0</v>
      </c>
      <c r="G319" s="4">
        <f t="shared" ref="G319:J319" si="590">IF($A67&gt;G$3,0,G$15-G193-G256)</f>
        <v>904.74278534608811</v>
      </c>
      <c r="H319" s="4">
        <f t="shared" si="590"/>
        <v>731.80883568960269</v>
      </c>
      <c r="I319" s="4">
        <f t="shared" si="590"/>
        <v>616.66360394620631</v>
      </c>
      <c r="J319" s="4">
        <f t="shared" si="590"/>
        <v>473.05547281476674</v>
      </c>
      <c r="K319" s="4">
        <f t="shared" ref="K319:S319" si="591">IF($A67&gt;K$3,0,K$15-K193-K256)</f>
        <v>330.30510664282696</v>
      </c>
      <c r="L319" s="4">
        <f t="shared" si="591"/>
        <v>0</v>
      </c>
      <c r="M319" s="4">
        <f t="shared" si="591"/>
        <v>0</v>
      </c>
      <c r="N319" s="4">
        <f t="shared" si="591"/>
        <v>0</v>
      </c>
      <c r="O319" s="4">
        <f t="shared" si="591"/>
        <v>0</v>
      </c>
      <c r="P319" s="4">
        <f t="shared" si="591"/>
        <v>943.52334855941137</v>
      </c>
      <c r="Q319" s="4">
        <f t="shared" si="591"/>
        <v>773.37116336977033</v>
      </c>
      <c r="R319" s="4">
        <f t="shared" si="591"/>
        <v>660.22049487534525</v>
      </c>
      <c r="S319" s="4">
        <f t="shared" si="591"/>
        <v>519.25173962969268</v>
      </c>
      <c r="T319" s="4">
        <f t="shared" ref="T319:U319" si="592">IF($A67&gt;T$3,0,T$15-T193-T256)</f>
        <v>379.70949921089181</v>
      </c>
      <c r="U319" s="4">
        <f t="shared" si="592"/>
        <v>809.86852647419471</v>
      </c>
    </row>
    <row r="320" spans="1:21" x14ac:dyDescent="0.3">
      <c r="A320">
        <f t="shared" si="547"/>
        <v>13</v>
      </c>
      <c r="B320" s="1">
        <f>VLOOKUP(A320,dates!A:B,2,0)</f>
        <v>45323</v>
      </c>
      <c r="C320" s="4">
        <f t="shared" si="548"/>
        <v>0</v>
      </c>
      <c r="D320" s="4">
        <f t="shared" si="548"/>
        <v>0</v>
      </c>
      <c r="E320" s="4">
        <f t="shared" ref="E320:F320" si="593">IF($A68&gt;E$3,0,E$15-E194-E257)</f>
        <v>0</v>
      </c>
      <c r="F320" s="4">
        <f t="shared" si="593"/>
        <v>0</v>
      </c>
      <c r="G320" s="4">
        <f t="shared" ref="G320:J320" si="594">IF($A68&gt;G$3,0,G$15-G194-G257)</f>
        <v>0</v>
      </c>
      <c r="H320" s="4">
        <f t="shared" si="594"/>
        <v>734.00426219667168</v>
      </c>
      <c r="I320" s="4">
        <f t="shared" si="594"/>
        <v>618.51359475804509</v>
      </c>
      <c r="J320" s="4">
        <f t="shared" si="594"/>
        <v>474.47463923321095</v>
      </c>
      <c r="K320" s="4">
        <f t="shared" ref="K320:S320" si="595">IF($A68&gt;K$3,0,K$15-K194-K257)</f>
        <v>331.29602196275545</v>
      </c>
      <c r="L320" s="4">
        <f t="shared" si="595"/>
        <v>0</v>
      </c>
      <c r="M320" s="4">
        <f t="shared" si="595"/>
        <v>0</v>
      </c>
      <c r="N320" s="4">
        <f t="shared" si="595"/>
        <v>0</v>
      </c>
      <c r="O320" s="4">
        <f t="shared" si="595"/>
        <v>0</v>
      </c>
      <c r="P320" s="4">
        <f t="shared" si="595"/>
        <v>0</v>
      </c>
      <c r="Q320" s="4">
        <f t="shared" si="595"/>
        <v>775.69127685987974</v>
      </c>
      <c r="R320" s="4">
        <f t="shared" si="595"/>
        <v>662.20115635997115</v>
      </c>
      <c r="S320" s="4">
        <f t="shared" si="595"/>
        <v>520.80949484858195</v>
      </c>
      <c r="T320" s="4">
        <f t="shared" ref="T320:U320" si="596">IF($A68&gt;T$3,0,T$15-T194-T257)</f>
        <v>380.84862770852448</v>
      </c>
      <c r="U320" s="4">
        <f t="shared" si="596"/>
        <v>812.29813205361722</v>
      </c>
    </row>
    <row r="321" spans="1:21" x14ac:dyDescent="0.3">
      <c r="A321">
        <f t="shared" si="547"/>
        <v>14</v>
      </c>
      <c r="B321" s="1">
        <f>VLOOKUP(A321,dates!A:B,2,0)</f>
        <v>45352</v>
      </c>
      <c r="C321" s="4">
        <f t="shared" si="548"/>
        <v>0</v>
      </c>
      <c r="D321" s="4">
        <f t="shared" si="548"/>
        <v>0</v>
      </c>
      <c r="E321" s="4">
        <f t="shared" ref="E321:F321" si="597">IF($A69&gt;E$3,0,E$15-E195-E258)</f>
        <v>0</v>
      </c>
      <c r="F321" s="4">
        <f t="shared" si="597"/>
        <v>0</v>
      </c>
      <c r="G321" s="4">
        <f t="shared" ref="G321:J321" si="598">IF($A69&gt;G$3,0,G$15-G195-G258)</f>
        <v>0</v>
      </c>
      <c r="H321" s="4">
        <f t="shared" si="598"/>
        <v>736.20627498326155</v>
      </c>
      <c r="I321" s="4">
        <f t="shared" si="598"/>
        <v>620.36913554231921</v>
      </c>
      <c r="J321" s="4">
        <f t="shared" si="598"/>
        <v>475.89806315091062</v>
      </c>
      <c r="K321" s="4">
        <f t="shared" ref="K321:S321" si="599">IF($A69&gt;K$3,0,K$15-K195-K258)</f>
        <v>332.2899100286437</v>
      </c>
      <c r="L321" s="4">
        <f t="shared" si="599"/>
        <v>0</v>
      </c>
      <c r="M321" s="4">
        <f t="shared" si="599"/>
        <v>0</v>
      </c>
      <c r="N321" s="4">
        <f t="shared" si="599"/>
        <v>0</v>
      </c>
      <c r="O321" s="4">
        <f t="shared" si="599"/>
        <v>0</v>
      </c>
      <c r="P321" s="4">
        <f t="shared" si="599"/>
        <v>0</v>
      </c>
      <c r="Q321" s="4">
        <f t="shared" si="599"/>
        <v>778.01835069045933</v>
      </c>
      <c r="R321" s="4">
        <f t="shared" si="599"/>
        <v>664.18775982905106</v>
      </c>
      <c r="S321" s="4">
        <f t="shared" si="599"/>
        <v>522.37192333312748</v>
      </c>
      <c r="T321" s="4">
        <f t="shared" ref="T321:U321" si="600">IF($A69&gt;T$3,0,T$15-T195-T258)</f>
        <v>381.99117359165001</v>
      </c>
      <c r="U321" s="4">
        <f t="shared" si="600"/>
        <v>814.73502644977827</v>
      </c>
    </row>
    <row r="322" spans="1:21" x14ac:dyDescent="0.3">
      <c r="A322">
        <f t="shared" si="547"/>
        <v>15</v>
      </c>
      <c r="B322" s="1">
        <f>VLOOKUP(A322,dates!A:B,2,0)</f>
        <v>45383</v>
      </c>
      <c r="C322" s="4">
        <f t="shared" si="548"/>
        <v>0</v>
      </c>
      <c r="D322" s="4">
        <f t="shared" si="548"/>
        <v>0</v>
      </c>
      <c r="E322" s="4">
        <f t="shared" ref="E322:F322" si="601">IF($A70&gt;E$3,0,E$15-E196-E259)</f>
        <v>0</v>
      </c>
      <c r="F322" s="4">
        <f t="shared" si="601"/>
        <v>0</v>
      </c>
      <c r="G322" s="4">
        <f t="shared" ref="G322:J322" si="602">IF($A70&gt;G$3,0,G$15-G196-G259)</f>
        <v>0</v>
      </c>
      <c r="H322" s="4">
        <f t="shared" si="602"/>
        <v>738.41489380821133</v>
      </c>
      <c r="I322" s="4">
        <f t="shared" si="602"/>
        <v>622.23024294894606</v>
      </c>
      <c r="J322" s="4">
        <f t="shared" si="602"/>
        <v>477.32575734036334</v>
      </c>
      <c r="K322" s="4">
        <f t="shared" ref="K322:S322" si="603">IF($A70&gt;K$3,0,K$15-K196-K259)</f>
        <v>333.28677975872966</v>
      </c>
      <c r="L322" s="4">
        <f t="shared" si="603"/>
        <v>0</v>
      </c>
      <c r="M322" s="4">
        <f t="shared" si="603"/>
        <v>0</v>
      </c>
      <c r="N322" s="4">
        <f t="shared" si="603"/>
        <v>0</v>
      </c>
      <c r="O322" s="4">
        <f t="shared" si="603"/>
        <v>0</v>
      </c>
      <c r="P322" s="4">
        <f t="shared" si="603"/>
        <v>0</v>
      </c>
      <c r="Q322" s="4">
        <f t="shared" si="603"/>
        <v>780.35240574253066</v>
      </c>
      <c r="R322" s="4">
        <f t="shared" si="603"/>
        <v>666.18032310853835</v>
      </c>
      <c r="S322" s="4">
        <f t="shared" si="603"/>
        <v>523.9390391031269</v>
      </c>
      <c r="T322" s="4">
        <f t="shared" ref="T322:U322" si="604">IF($A70&gt;T$3,0,T$15-T196-T259)</f>
        <v>383.137147112425</v>
      </c>
      <c r="U322" s="4">
        <f t="shared" si="604"/>
        <v>817.17923152912761</v>
      </c>
    </row>
    <row r="323" spans="1:21" x14ac:dyDescent="0.3">
      <c r="A323">
        <f t="shared" si="547"/>
        <v>16</v>
      </c>
      <c r="B323" s="1">
        <f>VLOOKUP(A323,dates!A:B,2,0)</f>
        <v>45413</v>
      </c>
      <c r="C323" s="4">
        <f t="shared" si="548"/>
        <v>0</v>
      </c>
      <c r="D323" s="4">
        <f t="shared" si="548"/>
        <v>0</v>
      </c>
      <c r="E323" s="4">
        <f t="shared" ref="E323:F323" si="605">IF($A71&gt;E$3,0,E$15-E197-E260)</f>
        <v>0</v>
      </c>
      <c r="F323" s="4">
        <f t="shared" si="605"/>
        <v>0</v>
      </c>
      <c r="G323" s="4">
        <f t="shared" ref="G323:J323" si="606">IF($A71&gt;G$3,0,G$15-G197-G260)</f>
        <v>0</v>
      </c>
      <c r="H323" s="4">
        <f t="shared" si="606"/>
        <v>0</v>
      </c>
      <c r="I323" s="4">
        <f t="shared" si="606"/>
        <v>624.09693367779289</v>
      </c>
      <c r="J323" s="4">
        <f t="shared" si="606"/>
        <v>478.75773461238441</v>
      </c>
      <c r="K323" s="4">
        <f t="shared" ref="K323:S323" si="607">IF($A71&gt;K$3,0,K$15-K197-K260)</f>
        <v>334.28664009800588</v>
      </c>
      <c r="L323" s="4">
        <f t="shared" si="607"/>
        <v>0</v>
      </c>
      <c r="M323" s="4">
        <f t="shared" si="607"/>
        <v>0</v>
      </c>
      <c r="N323" s="4">
        <f t="shared" si="607"/>
        <v>0</v>
      </c>
      <c r="O323" s="4">
        <f t="shared" si="607"/>
        <v>0</v>
      </c>
      <c r="P323" s="4">
        <f t="shared" si="607"/>
        <v>0</v>
      </c>
      <c r="Q323" s="4">
        <f t="shared" si="607"/>
        <v>0</v>
      </c>
      <c r="R323" s="4">
        <f t="shared" si="607"/>
        <v>668.17886407786375</v>
      </c>
      <c r="S323" s="4">
        <f t="shared" si="607"/>
        <v>525.51085622043627</v>
      </c>
      <c r="T323" s="4">
        <f t="shared" ref="T323:U323" si="608">IF($A71&gt;T$3,0,T$15-T197-T260)</f>
        <v>384.28655855376229</v>
      </c>
      <c r="U323" s="4">
        <f t="shared" si="608"/>
        <v>0</v>
      </c>
    </row>
    <row r="324" spans="1:21" x14ac:dyDescent="0.3">
      <c r="A324">
        <f t="shared" si="547"/>
        <v>17</v>
      </c>
      <c r="B324" s="1">
        <f>VLOOKUP(A324,dates!A:B,2,0)</f>
        <v>45444</v>
      </c>
      <c r="C324" s="4">
        <f t="shared" si="548"/>
        <v>0</v>
      </c>
      <c r="D324" s="4">
        <f t="shared" si="548"/>
        <v>0</v>
      </c>
      <c r="E324" s="4">
        <f t="shared" ref="E324:F324" si="609">IF($A72&gt;E$3,0,E$15-E198-E261)</f>
        <v>0</v>
      </c>
      <c r="F324" s="4">
        <f t="shared" si="609"/>
        <v>0</v>
      </c>
      <c r="G324" s="4">
        <f t="shared" ref="G324:J324" si="610">IF($A72&gt;G$3,0,G$15-G198-G261)</f>
        <v>0</v>
      </c>
      <c r="H324" s="4">
        <f t="shared" si="610"/>
        <v>0</v>
      </c>
      <c r="I324" s="4">
        <f t="shared" si="610"/>
        <v>625.96922447882628</v>
      </c>
      <c r="J324" s="4">
        <f t="shared" si="610"/>
        <v>480.19400781622164</v>
      </c>
      <c r="K324" s="4">
        <f t="shared" ref="K324:S324" si="611">IF($A72&gt;K$3,0,K$15-K198-K261)</f>
        <v>335.28950001829986</v>
      </c>
      <c r="L324" s="4">
        <f t="shared" si="611"/>
        <v>0</v>
      </c>
      <c r="M324" s="4">
        <f t="shared" si="611"/>
        <v>0</v>
      </c>
      <c r="N324" s="4">
        <f t="shared" si="611"/>
        <v>0</v>
      </c>
      <c r="O324" s="4">
        <f t="shared" si="611"/>
        <v>0</v>
      </c>
      <c r="P324" s="4">
        <f t="shared" si="611"/>
        <v>0</v>
      </c>
      <c r="Q324" s="4">
        <f t="shared" si="611"/>
        <v>0</v>
      </c>
      <c r="R324" s="4">
        <f t="shared" si="611"/>
        <v>670.18340067009751</v>
      </c>
      <c r="S324" s="4">
        <f t="shared" si="611"/>
        <v>527.08738878909764</v>
      </c>
      <c r="T324" s="4">
        <f t="shared" ref="T324:U324" si="612">IF($A72&gt;T$3,0,T$15-T198-T261)</f>
        <v>385.43941822942355</v>
      </c>
      <c r="U324" s="4">
        <f t="shared" si="612"/>
        <v>0</v>
      </c>
    </row>
    <row r="325" spans="1:21" x14ac:dyDescent="0.3">
      <c r="A325">
        <f t="shared" si="547"/>
        <v>18</v>
      </c>
      <c r="B325" s="1">
        <f>VLOOKUP(A325,dates!A:B,2,0)</f>
        <v>45474</v>
      </c>
      <c r="C325" s="4">
        <f t="shared" si="548"/>
        <v>0</v>
      </c>
      <c r="D325" s="4">
        <f t="shared" si="548"/>
        <v>0</v>
      </c>
      <c r="E325" s="4">
        <f t="shared" ref="E325:F325" si="613">IF($A73&gt;E$3,0,E$15-E199-E262)</f>
        <v>0</v>
      </c>
      <c r="F325" s="4">
        <f t="shared" si="613"/>
        <v>0</v>
      </c>
      <c r="G325" s="4">
        <f t="shared" ref="G325:J325" si="614">IF($A73&gt;G$3,0,G$15-G199-G262)</f>
        <v>0</v>
      </c>
      <c r="H325" s="4">
        <f t="shared" si="614"/>
        <v>0</v>
      </c>
      <c r="I325" s="4">
        <f t="shared" si="614"/>
        <v>627.84713215226282</v>
      </c>
      <c r="J325" s="4">
        <f t="shared" si="614"/>
        <v>481.6345898396703</v>
      </c>
      <c r="K325" s="4">
        <f t="shared" ref="K325:S325" si="615">IF($A73&gt;K$3,0,K$15-K199-K262)</f>
        <v>336.29536851835479</v>
      </c>
      <c r="L325" s="4">
        <f t="shared" si="615"/>
        <v>0</v>
      </c>
      <c r="M325" s="4">
        <f t="shared" si="615"/>
        <v>0</v>
      </c>
      <c r="N325" s="4">
        <f t="shared" si="615"/>
        <v>0</v>
      </c>
      <c r="O325" s="4">
        <f t="shared" si="615"/>
        <v>0</v>
      </c>
      <c r="P325" s="4">
        <f t="shared" si="615"/>
        <v>0</v>
      </c>
      <c r="Q325" s="4">
        <f t="shared" si="615"/>
        <v>0</v>
      </c>
      <c r="R325" s="4">
        <f t="shared" si="615"/>
        <v>672.19395087210785</v>
      </c>
      <c r="S325" s="4">
        <f t="shared" si="615"/>
        <v>528.66865095546484</v>
      </c>
      <c r="T325" s="4">
        <f t="shared" ref="T325:U325" si="616">IF($A73&gt;T$3,0,T$15-T199-T262)</f>
        <v>386.5957364841118</v>
      </c>
      <c r="U325" s="4">
        <f t="shared" si="616"/>
        <v>0</v>
      </c>
    </row>
    <row r="326" spans="1:21" x14ac:dyDescent="0.3">
      <c r="A326">
        <f t="shared" si="547"/>
        <v>19</v>
      </c>
      <c r="B326" s="1">
        <f>VLOOKUP(A326,dates!A:B,2,0)</f>
        <v>45505</v>
      </c>
      <c r="C326" s="4">
        <f t="shared" si="548"/>
        <v>0</v>
      </c>
      <c r="D326" s="4">
        <f t="shared" si="548"/>
        <v>0</v>
      </c>
      <c r="E326" s="4">
        <f t="shared" ref="E326:F326" si="617">IF($A74&gt;E$3,0,E$15-E200-E263)</f>
        <v>0</v>
      </c>
      <c r="F326" s="4">
        <f t="shared" si="617"/>
        <v>0</v>
      </c>
      <c r="G326" s="4">
        <f t="shared" ref="G326:J326" si="618">IF($A74&gt;G$3,0,G$15-G200-G263)</f>
        <v>0</v>
      </c>
      <c r="H326" s="4">
        <f t="shared" si="618"/>
        <v>0</v>
      </c>
      <c r="I326" s="4">
        <f t="shared" si="618"/>
        <v>0</v>
      </c>
      <c r="J326" s="4">
        <f t="shared" si="618"/>
        <v>483.07949360918929</v>
      </c>
      <c r="K326" s="4">
        <f t="shared" ref="K326:S326" si="619">IF($A74&gt;K$3,0,K$15-K200-K263)</f>
        <v>337.3042546239098</v>
      </c>
      <c r="L326" s="4">
        <f t="shared" si="619"/>
        <v>0</v>
      </c>
      <c r="M326" s="4">
        <f t="shared" si="619"/>
        <v>0</v>
      </c>
      <c r="N326" s="4">
        <f t="shared" si="619"/>
        <v>0</v>
      </c>
      <c r="O326" s="4">
        <f t="shared" si="619"/>
        <v>0</v>
      </c>
      <c r="P326" s="4">
        <f t="shared" si="619"/>
        <v>0</v>
      </c>
      <c r="Q326" s="4">
        <f t="shared" si="619"/>
        <v>0</v>
      </c>
      <c r="R326" s="4">
        <f t="shared" si="619"/>
        <v>0</v>
      </c>
      <c r="S326" s="4">
        <f t="shared" si="619"/>
        <v>530.25465690833141</v>
      </c>
      <c r="T326" s="4">
        <f t="shared" ref="T326:U326" si="620">IF($A74&gt;T$3,0,T$15-T200-T263)</f>
        <v>387.75552369356416</v>
      </c>
      <c r="U326" s="4">
        <f t="shared" si="620"/>
        <v>0</v>
      </c>
    </row>
    <row r="327" spans="1:21" x14ac:dyDescent="0.3">
      <c r="A327">
        <f t="shared" si="547"/>
        <v>20</v>
      </c>
      <c r="B327" s="1">
        <f>VLOOKUP(A327,dates!A:B,2,0)</f>
        <v>45536</v>
      </c>
      <c r="C327" s="4">
        <f t="shared" si="548"/>
        <v>0</v>
      </c>
      <c r="D327" s="4">
        <f t="shared" si="548"/>
        <v>0</v>
      </c>
      <c r="E327" s="4">
        <f t="shared" ref="E327:F327" si="621">IF($A75&gt;E$3,0,E$15-E201-E264)</f>
        <v>0</v>
      </c>
      <c r="F327" s="4">
        <f t="shared" si="621"/>
        <v>0</v>
      </c>
      <c r="G327" s="4">
        <f t="shared" ref="G327:J327" si="622">IF($A75&gt;G$3,0,G$15-G201-G264)</f>
        <v>0</v>
      </c>
      <c r="H327" s="4">
        <f t="shared" si="622"/>
        <v>0</v>
      </c>
      <c r="I327" s="4">
        <f t="shared" si="622"/>
        <v>0</v>
      </c>
      <c r="J327" s="4">
        <f t="shared" si="622"/>
        <v>484.52873209001689</v>
      </c>
      <c r="K327" s="4">
        <f t="shared" ref="K327:S327" si="623">IF($A75&gt;K$3,0,K$15-K201-K264)</f>
        <v>338.31616738778149</v>
      </c>
      <c r="L327" s="4">
        <f t="shared" si="623"/>
        <v>0</v>
      </c>
      <c r="M327" s="4">
        <f t="shared" si="623"/>
        <v>0</v>
      </c>
      <c r="N327" s="4">
        <f t="shared" si="623"/>
        <v>0</v>
      </c>
      <c r="O327" s="4">
        <f t="shared" si="623"/>
        <v>0</v>
      </c>
      <c r="P327" s="4">
        <f t="shared" si="623"/>
        <v>0</v>
      </c>
      <c r="Q327" s="4">
        <f t="shared" si="623"/>
        <v>0</v>
      </c>
      <c r="R327" s="4">
        <f t="shared" si="623"/>
        <v>0</v>
      </c>
      <c r="S327" s="4">
        <f t="shared" si="623"/>
        <v>531.84542087905641</v>
      </c>
      <c r="T327" s="4">
        <f t="shared" ref="T327:U327" si="624">IF($A75&gt;T$3,0,T$15-T201-T264)</f>
        <v>388.91879026464488</v>
      </c>
      <c r="U327" s="4">
        <f t="shared" si="624"/>
        <v>0</v>
      </c>
    </row>
    <row r="328" spans="1:21" x14ac:dyDescent="0.3">
      <c r="A328">
        <f t="shared" si="547"/>
        <v>21</v>
      </c>
      <c r="B328" s="1">
        <f>VLOOKUP(A328,dates!A:B,2,0)</f>
        <v>45566</v>
      </c>
      <c r="C328" s="4">
        <f t="shared" si="548"/>
        <v>0</v>
      </c>
      <c r="D328" s="4">
        <f t="shared" si="548"/>
        <v>0</v>
      </c>
      <c r="E328" s="4">
        <f t="shared" ref="E328:F328" si="625">IF($A76&gt;E$3,0,E$15-E202-E265)</f>
        <v>0</v>
      </c>
      <c r="F328" s="4">
        <f t="shared" si="625"/>
        <v>0</v>
      </c>
      <c r="G328" s="4">
        <f t="shared" ref="G328:J328" si="626">IF($A76&gt;G$3,0,G$15-G202-G265)</f>
        <v>0</v>
      </c>
      <c r="H328" s="4">
        <f t="shared" si="626"/>
        <v>0</v>
      </c>
      <c r="I328" s="4">
        <f t="shared" si="626"/>
        <v>0</v>
      </c>
      <c r="J328" s="4">
        <f t="shared" si="626"/>
        <v>485.98231828628695</v>
      </c>
      <c r="K328" s="4">
        <f t="shared" ref="K328:S328" si="627">IF($A76&gt;K$3,0,K$15-K202-K265)</f>
        <v>339.3311158899449</v>
      </c>
      <c r="L328" s="4">
        <f t="shared" si="627"/>
        <v>0</v>
      </c>
      <c r="M328" s="4">
        <f t="shared" si="627"/>
        <v>0</v>
      </c>
      <c r="N328" s="4">
        <f t="shared" si="627"/>
        <v>0</v>
      </c>
      <c r="O328" s="4">
        <f t="shared" si="627"/>
        <v>0</v>
      </c>
      <c r="P328" s="4">
        <f t="shared" si="627"/>
        <v>0</v>
      </c>
      <c r="Q328" s="4">
        <f t="shared" si="627"/>
        <v>0</v>
      </c>
      <c r="R328" s="4">
        <f t="shared" si="627"/>
        <v>0</v>
      </c>
      <c r="S328" s="4">
        <f t="shared" si="627"/>
        <v>533.4409571416935</v>
      </c>
      <c r="T328" s="4">
        <f t="shared" ref="T328:U328" si="628">IF($A76&gt;T$3,0,T$15-T202-T265)</f>
        <v>390.08554663543879</v>
      </c>
      <c r="U328" s="4">
        <f t="shared" si="628"/>
        <v>0</v>
      </c>
    </row>
    <row r="329" spans="1:21" x14ac:dyDescent="0.3">
      <c r="A329">
        <f t="shared" si="547"/>
        <v>22</v>
      </c>
      <c r="B329" s="1">
        <f>VLOOKUP(A329,dates!A:B,2,0)</f>
        <v>45597</v>
      </c>
      <c r="C329" s="4">
        <f t="shared" si="548"/>
        <v>0</v>
      </c>
      <c r="D329" s="4">
        <f t="shared" si="548"/>
        <v>0</v>
      </c>
      <c r="E329" s="4">
        <f t="shared" ref="E329:F329" si="629">IF($A77&gt;E$3,0,E$15-E203-E266)</f>
        <v>0</v>
      </c>
      <c r="F329" s="4">
        <f t="shared" si="629"/>
        <v>0</v>
      </c>
      <c r="G329" s="4">
        <f t="shared" ref="G329:J329" si="630">IF($A77&gt;G$3,0,G$15-G203-G266)</f>
        <v>0</v>
      </c>
      <c r="H329" s="4">
        <f t="shared" si="630"/>
        <v>0</v>
      </c>
      <c r="I329" s="4">
        <f t="shared" si="630"/>
        <v>0</v>
      </c>
      <c r="J329" s="4">
        <f t="shared" si="630"/>
        <v>487.44026524114577</v>
      </c>
      <c r="K329" s="4">
        <f t="shared" ref="K329:S329" si="631">IF($A77&gt;K$3,0,K$15-K203-K266)</f>
        <v>340.34910923761475</v>
      </c>
      <c r="L329" s="4">
        <f t="shared" si="631"/>
        <v>0</v>
      </c>
      <c r="M329" s="4">
        <f t="shared" si="631"/>
        <v>0</v>
      </c>
      <c r="N329" s="4">
        <f t="shared" si="631"/>
        <v>0</v>
      </c>
      <c r="O329" s="4">
        <f t="shared" si="631"/>
        <v>0</v>
      </c>
      <c r="P329" s="4">
        <f t="shared" si="631"/>
        <v>0</v>
      </c>
      <c r="Q329" s="4">
        <f t="shared" si="631"/>
        <v>0</v>
      </c>
      <c r="R329" s="4">
        <f t="shared" si="631"/>
        <v>0</v>
      </c>
      <c r="S329" s="4">
        <f t="shared" si="631"/>
        <v>535.04128001311858</v>
      </c>
      <c r="T329" s="4">
        <f t="shared" ref="T329:U329" si="632">IF($A77&gt;T$3,0,T$15-T203-T266)</f>
        <v>391.25580327534504</v>
      </c>
      <c r="U329" s="4">
        <f t="shared" si="632"/>
        <v>0</v>
      </c>
    </row>
    <row r="330" spans="1:21" x14ac:dyDescent="0.3">
      <c r="A330">
        <f t="shared" si="547"/>
        <v>23</v>
      </c>
      <c r="B330" s="1">
        <f>VLOOKUP(A330,dates!A:B,2,0)</f>
        <v>45627</v>
      </c>
      <c r="C330" s="4">
        <f t="shared" si="548"/>
        <v>0</v>
      </c>
      <c r="D330" s="4">
        <f t="shared" si="548"/>
        <v>0</v>
      </c>
      <c r="E330" s="4">
        <f t="shared" ref="E330:F330" si="633">IF($A78&gt;E$3,0,E$15-E204-E267)</f>
        <v>0</v>
      </c>
      <c r="F330" s="4">
        <f t="shared" si="633"/>
        <v>0</v>
      </c>
      <c r="G330" s="4">
        <f t="shared" ref="G330:J330" si="634">IF($A78&gt;G$3,0,G$15-G204-G267)</f>
        <v>0</v>
      </c>
      <c r="H330" s="4">
        <f t="shared" si="634"/>
        <v>0</v>
      </c>
      <c r="I330" s="4">
        <f t="shared" si="634"/>
        <v>0</v>
      </c>
      <c r="J330" s="4">
        <f t="shared" si="634"/>
        <v>488.90258603686925</v>
      </c>
      <c r="K330" s="4">
        <f t="shared" ref="K330:S330" si="635">IF($A78&gt;K$3,0,K$15-K204-K267)</f>
        <v>341.37015656532759</v>
      </c>
      <c r="L330" s="4">
        <f t="shared" si="635"/>
        <v>0</v>
      </c>
      <c r="M330" s="4">
        <f t="shared" si="635"/>
        <v>0</v>
      </c>
      <c r="N330" s="4">
        <f t="shared" si="635"/>
        <v>0</v>
      </c>
      <c r="O330" s="4">
        <f t="shared" si="635"/>
        <v>0</v>
      </c>
      <c r="P330" s="4">
        <f t="shared" si="635"/>
        <v>0</v>
      </c>
      <c r="Q330" s="4">
        <f t="shared" si="635"/>
        <v>0</v>
      </c>
      <c r="R330" s="4">
        <f t="shared" si="635"/>
        <v>0</v>
      </c>
      <c r="S330" s="4">
        <f t="shared" si="635"/>
        <v>536.64640385315795</v>
      </c>
      <c r="T330" s="4">
        <f t="shared" ref="T330:U330" si="636">IF($A78&gt;T$3,0,T$15-T204-T267)</f>
        <v>392.42957068517109</v>
      </c>
      <c r="U330" s="4">
        <f t="shared" si="636"/>
        <v>0</v>
      </c>
    </row>
    <row r="331" spans="1:21" x14ac:dyDescent="0.3">
      <c r="A331">
        <f t="shared" si="547"/>
        <v>24</v>
      </c>
      <c r="B331" s="1">
        <f>VLOOKUP(A331,dates!A:B,2,0)</f>
        <v>45658</v>
      </c>
      <c r="C331" s="4">
        <f t="shared" si="548"/>
        <v>0</v>
      </c>
      <c r="D331" s="4">
        <f t="shared" si="548"/>
        <v>0</v>
      </c>
      <c r="E331" s="4">
        <f t="shared" ref="E331:F331" si="637">IF($A79&gt;E$3,0,E$15-E205-E268)</f>
        <v>0</v>
      </c>
      <c r="F331" s="4">
        <f t="shared" si="637"/>
        <v>0</v>
      </c>
      <c r="G331" s="4">
        <f t="shared" ref="G331:J331" si="638">IF($A79&gt;G$3,0,G$15-G205-G268)</f>
        <v>0</v>
      </c>
      <c r="H331" s="4">
        <f t="shared" si="638"/>
        <v>0</v>
      </c>
      <c r="I331" s="4">
        <f t="shared" si="638"/>
        <v>0</v>
      </c>
      <c r="J331" s="4">
        <f t="shared" si="638"/>
        <v>490.36929379497985</v>
      </c>
      <c r="K331" s="4">
        <f t="shared" ref="K331:S331" si="639">IF($A79&gt;K$3,0,K$15-K205-K268)</f>
        <v>342.39426703502357</v>
      </c>
      <c r="L331" s="4">
        <f t="shared" si="639"/>
        <v>0</v>
      </c>
      <c r="M331" s="4">
        <f t="shared" si="639"/>
        <v>0</v>
      </c>
      <c r="N331" s="4">
        <f t="shared" si="639"/>
        <v>0</v>
      </c>
      <c r="O331" s="4">
        <f t="shared" si="639"/>
        <v>0</v>
      </c>
      <c r="P331" s="4">
        <f t="shared" si="639"/>
        <v>0</v>
      </c>
      <c r="Q331" s="4">
        <f t="shared" si="639"/>
        <v>0</v>
      </c>
      <c r="R331" s="4">
        <f t="shared" si="639"/>
        <v>0</v>
      </c>
      <c r="S331" s="4">
        <f t="shared" si="639"/>
        <v>538.2563430647175</v>
      </c>
      <c r="T331" s="4">
        <f t="shared" ref="T331:U331" si="640">IF($A79&gt;T$3,0,T$15-T205-T268)</f>
        <v>393.60685939722663</v>
      </c>
      <c r="U331" s="4">
        <f t="shared" si="640"/>
        <v>0</v>
      </c>
    </row>
    <row r="332" spans="1:21" x14ac:dyDescent="0.3">
      <c r="A332">
        <f t="shared" si="547"/>
        <v>25</v>
      </c>
      <c r="B332" s="1">
        <f>VLOOKUP(A332,dates!A:B,2,0)</f>
        <v>45689</v>
      </c>
      <c r="C332" s="4">
        <f t="shared" si="548"/>
        <v>0</v>
      </c>
      <c r="D332" s="4">
        <f t="shared" si="548"/>
        <v>0</v>
      </c>
      <c r="E332" s="4">
        <f t="shared" ref="E332:F332" si="641">IF($A80&gt;E$3,0,E$15-E206-E269)</f>
        <v>0</v>
      </c>
      <c r="F332" s="4">
        <f t="shared" si="641"/>
        <v>0</v>
      </c>
      <c r="G332" s="4">
        <f t="shared" ref="G332:J332" si="642">IF($A80&gt;G$3,0,G$15-G206-G269)</f>
        <v>0</v>
      </c>
      <c r="H332" s="4">
        <f t="shared" si="642"/>
        <v>0</v>
      </c>
      <c r="I332" s="4">
        <f t="shared" si="642"/>
        <v>0</v>
      </c>
      <c r="J332" s="4">
        <f t="shared" si="642"/>
        <v>0</v>
      </c>
      <c r="K332" s="4">
        <f t="shared" ref="K332:S332" si="643">IF($A80&gt;K$3,0,K$15-K206-K269)</f>
        <v>343.4214498361286</v>
      </c>
      <c r="L332" s="4">
        <f t="shared" si="643"/>
        <v>0</v>
      </c>
      <c r="M332" s="4">
        <f t="shared" si="643"/>
        <v>0</v>
      </c>
      <c r="N332" s="4">
        <f t="shared" si="643"/>
        <v>0</v>
      </c>
      <c r="O332" s="4">
        <f t="shared" si="643"/>
        <v>0</v>
      </c>
      <c r="P332" s="4">
        <f t="shared" si="643"/>
        <v>0</v>
      </c>
      <c r="Q332" s="4">
        <f t="shared" si="643"/>
        <v>0</v>
      </c>
      <c r="R332" s="4">
        <f t="shared" si="643"/>
        <v>0</v>
      </c>
      <c r="S332" s="4">
        <f t="shared" si="643"/>
        <v>0</v>
      </c>
      <c r="T332" s="4">
        <f t="shared" ref="T332:U332" si="644">IF($A80&gt;T$3,0,T$15-T206-T269)</f>
        <v>394.78767997541837</v>
      </c>
      <c r="U332" s="4">
        <f t="shared" si="644"/>
        <v>0</v>
      </c>
    </row>
    <row r="333" spans="1:21" x14ac:dyDescent="0.3">
      <c r="A333">
        <f t="shared" si="547"/>
        <v>26</v>
      </c>
      <c r="B333" s="1">
        <f>VLOOKUP(A333,dates!A:B,2,0)</f>
        <v>45717</v>
      </c>
      <c r="C333" s="4">
        <f t="shared" si="548"/>
        <v>0</v>
      </c>
      <c r="D333" s="4">
        <f t="shared" si="548"/>
        <v>0</v>
      </c>
      <c r="E333" s="4">
        <f t="shared" ref="E333:F333" si="645">IF($A81&gt;E$3,0,E$15-E207-E270)</f>
        <v>0</v>
      </c>
      <c r="F333" s="4">
        <f t="shared" si="645"/>
        <v>0</v>
      </c>
      <c r="G333" s="4">
        <f t="shared" ref="G333:J333" si="646">IF($A81&gt;G$3,0,G$15-G207-G270)</f>
        <v>0</v>
      </c>
      <c r="H333" s="4">
        <f t="shared" si="646"/>
        <v>0</v>
      </c>
      <c r="I333" s="4">
        <f t="shared" si="646"/>
        <v>0</v>
      </c>
      <c r="J333" s="4">
        <f t="shared" si="646"/>
        <v>0</v>
      </c>
      <c r="K333" s="4">
        <f t="shared" ref="K333:S333" si="647">IF($A81&gt;K$3,0,K$15-K207-K270)</f>
        <v>344.45171418563694</v>
      </c>
      <c r="L333" s="4">
        <f t="shared" si="647"/>
        <v>0</v>
      </c>
      <c r="M333" s="4">
        <f t="shared" si="647"/>
        <v>0</v>
      </c>
      <c r="N333" s="4">
        <f t="shared" si="647"/>
        <v>0</v>
      </c>
      <c r="O333" s="4">
        <f t="shared" si="647"/>
        <v>0</v>
      </c>
      <c r="P333" s="4">
        <f t="shared" si="647"/>
        <v>0</v>
      </c>
      <c r="Q333" s="4">
        <f t="shared" si="647"/>
        <v>0</v>
      </c>
      <c r="R333" s="4">
        <f t="shared" si="647"/>
        <v>0</v>
      </c>
      <c r="S333" s="4">
        <f t="shared" si="647"/>
        <v>0</v>
      </c>
      <c r="T333" s="4">
        <f t="shared" ref="T333:U333" si="648">IF($A81&gt;T$3,0,T$15-T207-T270)</f>
        <v>395.97204301534458</v>
      </c>
      <c r="U333" s="4">
        <f t="shared" si="648"/>
        <v>0</v>
      </c>
    </row>
    <row r="334" spans="1:21" x14ac:dyDescent="0.3">
      <c r="A334">
        <f t="shared" si="547"/>
        <v>27</v>
      </c>
      <c r="B334" s="1">
        <f>VLOOKUP(A334,dates!A:B,2,0)</f>
        <v>45748</v>
      </c>
      <c r="C334" s="4">
        <f t="shared" si="548"/>
        <v>0</v>
      </c>
      <c r="D334" s="4">
        <f t="shared" si="548"/>
        <v>0</v>
      </c>
      <c r="E334" s="4">
        <f t="shared" ref="E334:F334" si="649">IF($A82&gt;E$3,0,E$15-E208-E271)</f>
        <v>0</v>
      </c>
      <c r="F334" s="4">
        <f t="shared" si="649"/>
        <v>0</v>
      </c>
      <c r="G334" s="4">
        <f t="shared" ref="G334:J334" si="650">IF($A82&gt;G$3,0,G$15-G208-G271)</f>
        <v>0</v>
      </c>
      <c r="H334" s="4">
        <f t="shared" si="650"/>
        <v>0</v>
      </c>
      <c r="I334" s="4">
        <f t="shared" si="650"/>
        <v>0</v>
      </c>
      <c r="J334" s="4">
        <f t="shared" si="650"/>
        <v>0</v>
      </c>
      <c r="K334" s="4">
        <f t="shared" ref="K334:S334" si="651">IF($A82&gt;K$3,0,K$15-K208-K271)</f>
        <v>345.4850693281939</v>
      </c>
      <c r="L334" s="4">
        <f t="shared" si="651"/>
        <v>0</v>
      </c>
      <c r="M334" s="4">
        <f t="shared" si="651"/>
        <v>0</v>
      </c>
      <c r="N334" s="4">
        <f t="shared" si="651"/>
        <v>0</v>
      </c>
      <c r="O334" s="4">
        <f t="shared" si="651"/>
        <v>0</v>
      </c>
      <c r="P334" s="4">
        <f t="shared" si="651"/>
        <v>0</v>
      </c>
      <c r="Q334" s="4">
        <f t="shared" si="651"/>
        <v>0</v>
      </c>
      <c r="R334" s="4">
        <f t="shared" si="651"/>
        <v>0</v>
      </c>
      <c r="S334" s="4">
        <f t="shared" si="651"/>
        <v>0</v>
      </c>
      <c r="T334" s="4">
        <f t="shared" ref="T334:U334" si="652">IF($A82&gt;T$3,0,T$15-T208-T271)</f>
        <v>397.1599591443906</v>
      </c>
      <c r="U334" s="4">
        <f t="shared" si="652"/>
        <v>0</v>
      </c>
    </row>
    <row r="335" spans="1:21" x14ac:dyDescent="0.3">
      <c r="A335">
        <f t="shared" si="547"/>
        <v>28</v>
      </c>
      <c r="B335" s="1">
        <f>VLOOKUP(A335,dates!A:B,2,0)</f>
        <v>45778</v>
      </c>
      <c r="C335" s="4">
        <f t="shared" si="548"/>
        <v>0</v>
      </c>
      <c r="D335" s="4">
        <f t="shared" si="548"/>
        <v>0</v>
      </c>
      <c r="E335" s="4">
        <f t="shared" ref="E335:F335" si="653">IF($A83&gt;E$3,0,E$15-E209-E272)</f>
        <v>0</v>
      </c>
      <c r="F335" s="4">
        <f t="shared" si="653"/>
        <v>0</v>
      </c>
      <c r="G335" s="4">
        <f t="shared" ref="G335:J335" si="654">IF($A83&gt;G$3,0,G$15-G209-G272)</f>
        <v>0</v>
      </c>
      <c r="H335" s="4">
        <f t="shared" si="654"/>
        <v>0</v>
      </c>
      <c r="I335" s="4">
        <f t="shared" si="654"/>
        <v>0</v>
      </c>
      <c r="J335" s="4">
        <f t="shared" si="654"/>
        <v>0</v>
      </c>
      <c r="K335" s="4">
        <f t="shared" ref="K335:S335" si="655">IF($A83&gt;K$3,0,K$15-K209-K272)</f>
        <v>346.52152453617845</v>
      </c>
      <c r="L335" s="4">
        <f t="shared" si="655"/>
        <v>0</v>
      </c>
      <c r="M335" s="4">
        <f t="shared" si="655"/>
        <v>0</v>
      </c>
      <c r="N335" s="4">
        <f t="shared" si="655"/>
        <v>0</v>
      </c>
      <c r="O335" s="4">
        <f t="shared" si="655"/>
        <v>0</v>
      </c>
      <c r="P335" s="4">
        <f t="shared" si="655"/>
        <v>0</v>
      </c>
      <c r="Q335" s="4">
        <f t="shared" si="655"/>
        <v>0</v>
      </c>
      <c r="R335" s="4">
        <f t="shared" si="655"/>
        <v>0</v>
      </c>
      <c r="S335" s="4">
        <f t="shared" si="655"/>
        <v>0</v>
      </c>
      <c r="T335" s="4">
        <f t="shared" ref="T335:U335" si="656">IF($A83&gt;T$3,0,T$15-T209-T272)</f>
        <v>398.35143902182375</v>
      </c>
      <c r="U335" s="4">
        <f t="shared" si="656"/>
        <v>0</v>
      </c>
    </row>
    <row r="336" spans="1:21" x14ac:dyDescent="0.3">
      <c r="A336">
        <f t="shared" si="547"/>
        <v>29</v>
      </c>
      <c r="B336" s="1">
        <f>VLOOKUP(A336,dates!A:B,2,0)</f>
        <v>45809</v>
      </c>
      <c r="C336" s="4">
        <f t="shared" si="548"/>
        <v>0</v>
      </c>
      <c r="D336" s="4">
        <f t="shared" si="548"/>
        <v>0</v>
      </c>
      <c r="E336" s="4">
        <f t="shared" ref="E336:F336" si="657">IF($A84&gt;E$3,0,E$15-E210-E273)</f>
        <v>0</v>
      </c>
      <c r="F336" s="4">
        <f t="shared" si="657"/>
        <v>0</v>
      </c>
      <c r="G336" s="4">
        <f t="shared" ref="G336:J336" si="658">IF($A84&gt;G$3,0,G$15-G210-G273)</f>
        <v>0</v>
      </c>
      <c r="H336" s="4">
        <f t="shared" si="658"/>
        <v>0</v>
      </c>
      <c r="I336" s="4">
        <f t="shared" si="658"/>
        <v>0</v>
      </c>
      <c r="J336" s="4">
        <f t="shared" si="658"/>
        <v>0</v>
      </c>
      <c r="K336" s="4">
        <f t="shared" ref="K336:S336" si="659">IF($A84&gt;K$3,0,K$15-K210-K273)</f>
        <v>347.56108910978702</v>
      </c>
      <c r="L336" s="4">
        <f t="shared" si="659"/>
        <v>0</v>
      </c>
      <c r="M336" s="4">
        <f t="shared" si="659"/>
        <v>0</v>
      </c>
      <c r="N336" s="4">
        <f t="shared" si="659"/>
        <v>0</v>
      </c>
      <c r="O336" s="4">
        <f t="shared" si="659"/>
        <v>0</v>
      </c>
      <c r="P336" s="4">
        <f t="shared" si="659"/>
        <v>0</v>
      </c>
      <c r="Q336" s="4">
        <f t="shared" si="659"/>
        <v>0</v>
      </c>
      <c r="R336" s="4">
        <f t="shared" si="659"/>
        <v>0</v>
      </c>
      <c r="S336" s="4">
        <f t="shared" si="659"/>
        <v>0</v>
      </c>
      <c r="T336" s="4">
        <f t="shared" ref="T336:U336" si="660">IF($A84&gt;T$3,0,T$15-T210-T273)</f>
        <v>399.54649333888921</v>
      </c>
      <c r="U336" s="4">
        <f t="shared" si="660"/>
        <v>0</v>
      </c>
    </row>
    <row r="337" spans="1:21" x14ac:dyDescent="0.3">
      <c r="A337">
        <f t="shared" si="547"/>
        <v>30</v>
      </c>
      <c r="B337" s="1">
        <f>VLOOKUP(A337,dates!A:B,2,0)</f>
        <v>45839</v>
      </c>
      <c r="C337" s="4">
        <f t="shared" si="548"/>
        <v>0</v>
      </c>
      <c r="D337" s="4">
        <f t="shared" si="548"/>
        <v>0</v>
      </c>
      <c r="E337" s="4">
        <f t="shared" ref="E337:F337" si="661">IF($A85&gt;E$3,0,E$15-E211-E274)</f>
        <v>0</v>
      </c>
      <c r="F337" s="4">
        <f t="shared" si="661"/>
        <v>0</v>
      </c>
      <c r="G337" s="4">
        <f t="shared" ref="G337:J337" si="662">IF($A85&gt;G$3,0,G$15-G211-G274)</f>
        <v>0</v>
      </c>
      <c r="H337" s="4">
        <f t="shared" si="662"/>
        <v>0</v>
      </c>
      <c r="I337" s="4">
        <f t="shared" si="662"/>
        <v>0</v>
      </c>
      <c r="J337" s="4">
        <f t="shared" si="662"/>
        <v>0</v>
      </c>
      <c r="K337" s="4">
        <f t="shared" ref="K337:S337" si="663">IF($A85&gt;K$3,0,K$15-K211-K274)</f>
        <v>348.6037723771164</v>
      </c>
      <c r="L337" s="4">
        <f t="shared" si="663"/>
        <v>0</v>
      </c>
      <c r="M337" s="4">
        <f t="shared" si="663"/>
        <v>0</v>
      </c>
      <c r="N337" s="4">
        <f t="shared" si="663"/>
        <v>0</v>
      </c>
      <c r="O337" s="4">
        <f t="shared" si="663"/>
        <v>0</v>
      </c>
      <c r="P337" s="4">
        <f t="shared" si="663"/>
        <v>0</v>
      </c>
      <c r="Q337" s="4">
        <f t="shared" si="663"/>
        <v>0</v>
      </c>
      <c r="R337" s="4">
        <f t="shared" si="663"/>
        <v>0</v>
      </c>
      <c r="S337" s="4">
        <f t="shared" si="663"/>
        <v>0</v>
      </c>
      <c r="T337" s="4">
        <f t="shared" ref="T337:U337" si="664">IF($A85&gt;T$3,0,T$15-T211-T274)</f>
        <v>400.74513281890592</v>
      </c>
      <c r="U337" s="4">
        <f t="shared" si="664"/>
        <v>0</v>
      </c>
    </row>
    <row r="338" spans="1:21" x14ac:dyDescent="0.3">
      <c r="A338">
        <f t="shared" si="547"/>
        <v>31</v>
      </c>
      <c r="B338" s="1">
        <f>VLOOKUP(A338,dates!A:B,2,0)</f>
        <v>45870</v>
      </c>
      <c r="C338" s="4">
        <f t="shared" si="548"/>
        <v>0</v>
      </c>
      <c r="D338" s="4">
        <f t="shared" si="548"/>
        <v>0</v>
      </c>
      <c r="E338" s="4">
        <f t="shared" ref="E338:F338" si="665">IF($A86&gt;E$3,0,E$15-E212-E275)</f>
        <v>0</v>
      </c>
      <c r="F338" s="4">
        <f t="shared" si="665"/>
        <v>0</v>
      </c>
      <c r="G338" s="4">
        <f t="shared" ref="G338:J338" si="666">IF($A86&gt;G$3,0,G$15-G212-G275)</f>
        <v>0</v>
      </c>
      <c r="H338" s="4">
        <f t="shared" si="666"/>
        <v>0</v>
      </c>
      <c r="I338" s="4">
        <f t="shared" si="666"/>
        <v>0</v>
      </c>
      <c r="J338" s="4">
        <f t="shared" si="666"/>
        <v>0</v>
      </c>
      <c r="K338" s="4">
        <f t="shared" ref="K338:S338" si="667">IF($A86&gt;K$3,0,K$15-K212-K275)</f>
        <v>349.64958369424772</v>
      </c>
      <c r="L338" s="4">
        <f t="shared" si="667"/>
        <v>0</v>
      </c>
      <c r="M338" s="4">
        <f t="shared" si="667"/>
        <v>0</v>
      </c>
      <c r="N338" s="4">
        <f t="shared" si="667"/>
        <v>0</v>
      </c>
      <c r="O338" s="4">
        <f t="shared" si="667"/>
        <v>0</v>
      </c>
      <c r="P338" s="4">
        <f t="shared" si="667"/>
        <v>0</v>
      </c>
      <c r="Q338" s="4">
        <f t="shared" si="667"/>
        <v>0</v>
      </c>
      <c r="R338" s="4">
        <f t="shared" si="667"/>
        <v>0</v>
      </c>
      <c r="S338" s="4">
        <f t="shared" si="667"/>
        <v>0</v>
      </c>
      <c r="T338" s="4">
        <f t="shared" ref="T338:U338" si="668">IF($A86&gt;T$3,0,T$15-T212-T275)</f>
        <v>401.94736821736268</v>
      </c>
      <c r="U338" s="4">
        <f t="shared" si="668"/>
        <v>0</v>
      </c>
    </row>
    <row r="339" spans="1:21" x14ac:dyDescent="0.3">
      <c r="A339">
        <f t="shared" si="547"/>
        <v>32</v>
      </c>
      <c r="B339" s="1">
        <f>VLOOKUP(A339,dates!A:B,2,0)</f>
        <v>45901</v>
      </c>
      <c r="C339" s="4">
        <f t="shared" si="548"/>
        <v>0</v>
      </c>
      <c r="D339" s="4">
        <f t="shared" si="548"/>
        <v>0</v>
      </c>
      <c r="E339" s="4">
        <f t="shared" ref="E339:F339" si="669">IF($A87&gt;E$3,0,E$15-E213-E276)</f>
        <v>0</v>
      </c>
      <c r="F339" s="4">
        <f t="shared" si="669"/>
        <v>0</v>
      </c>
      <c r="G339" s="4">
        <f t="shared" ref="G339:J339" si="670">IF($A87&gt;G$3,0,G$15-G213-G276)</f>
        <v>0</v>
      </c>
      <c r="H339" s="4">
        <f t="shared" si="670"/>
        <v>0</v>
      </c>
      <c r="I339" s="4">
        <f t="shared" si="670"/>
        <v>0</v>
      </c>
      <c r="J339" s="4">
        <f t="shared" si="670"/>
        <v>0</v>
      </c>
      <c r="K339" s="4">
        <f t="shared" ref="K339:S339" si="671">IF($A87&gt;K$3,0,K$15-K213-K276)</f>
        <v>350.6985324453305</v>
      </c>
      <c r="L339" s="4">
        <f t="shared" si="671"/>
        <v>0</v>
      </c>
      <c r="M339" s="4">
        <f t="shared" si="671"/>
        <v>0</v>
      </c>
      <c r="N339" s="4">
        <f t="shared" si="671"/>
        <v>0</v>
      </c>
      <c r="O339" s="4">
        <f t="shared" si="671"/>
        <v>0</v>
      </c>
      <c r="P339" s="4">
        <f t="shared" si="671"/>
        <v>0</v>
      </c>
      <c r="Q339" s="4">
        <f t="shared" si="671"/>
        <v>0</v>
      </c>
      <c r="R339" s="4">
        <f t="shared" si="671"/>
        <v>0</v>
      </c>
      <c r="S339" s="4">
        <f t="shared" si="671"/>
        <v>0</v>
      </c>
      <c r="T339" s="4">
        <f t="shared" ref="T339:U339" si="672">IF($A87&gt;T$3,0,T$15-T213-T276)</f>
        <v>403.15321032201467</v>
      </c>
      <c r="U339" s="4">
        <f t="shared" si="672"/>
        <v>0</v>
      </c>
    </row>
    <row r="340" spans="1:21" x14ac:dyDescent="0.3">
      <c r="A340">
        <f t="shared" si="547"/>
        <v>33</v>
      </c>
      <c r="B340" s="1">
        <f>VLOOKUP(A340,dates!A:B,2,0)</f>
        <v>45931</v>
      </c>
      <c r="C340" s="4">
        <f t="shared" si="548"/>
        <v>0</v>
      </c>
      <c r="D340" s="4">
        <f t="shared" si="548"/>
        <v>0</v>
      </c>
      <c r="E340" s="4">
        <f t="shared" ref="E340:F340" si="673">IF($A88&gt;E$3,0,E$15-E214-E277)</f>
        <v>0</v>
      </c>
      <c r="F340" s="4">
        <f t="shared" si="673"/>
        <v>0</v>
      </c>
      <c r="G340" s="4">
        <f t="shared" ref="G340:J340" si="674">IF($A88&gt;G$3,0,G$15-G214-G277)</f>
        <v>0</v>
      </c>
      <c r="H340" s="4">
        <f t="shared" si="674"/>
        <v>0</v>
      </c>
      <c r="I340" s="4">
        <f t="shared" si="674"/>
        <v>0</v>
      </c>
      <c r="J340" s="4">
        <f t="shared" si="674"/>
        <v>0</v>
      </c>
      <c r="K340" s="4">
        <f t="shared" ref="K340:S340" si="675">IF($A88&gt;K$3,0,K$15-K214-K277)</f>
        <v>351.75062804266651</v>
      </c>
      <c r="L340" s="4">
        <f t="shared" si="675"/>
        <v>0</v>
      </c>
      <c r="M340" s="4">
        <f t="shared" si="675"/>
        <v>0</v>
      </c>
      <c r="N340" s="4">
        <f t="shared" si="675"/>
        <v>0</v>
      </c>
      <c r="O340" s="4">
        <f t="shared" si="675"/>
        <v>0</v>
      </c>
      <c r="P340" s="4">
        <f t="shared" si="675"/>
        <v>0</v>
      </c>
      <c r="Q340" s="4">
        <f t="shared" si="675"/>
        <v>0</v>
      </c>
      <c r="R340" s="4">
        <f t="shared" si="675"/>
        <v>0</v>
      </c>
      <c r="S340" s="4">
        <f t="shared" si="675"/>
        <v>0</v>
      </c>
      <c r="T340" s="4">
        <f t="shared" ref="T340:U340" si="676">IF($A88&gt;T$3,0,T$15-T214-T277)</f>
        <v>404.36266995298075</v>
      </c>
      <c r="U340" s="4">
        <f t="shared" si="676"/>
        <v>0</v>
      </c>
    </row>
    <row r="341" spans="1:21" x14ac:dyDescent="0.3">
      <c r="A341">
        <f t="shared" si="547"/>
        <v>34</v>
      </c>
      <c r="B341" s="1">
        <f>VLOOKUP(A341,dates!A:B,2,0)</f>
        <v>45962</v>
      </c>
      <c r="C341" s="4">
        <f t="shared" si="548"/>
        <v>0</v>
      </c>
      <c r="D341" s="4">
        <f t="shared" si="548"/>
        <v>0</v>
      </c>
      <c r="E341" s="4">
        <f t="shared" ref="E341:F341" si="677">IF($A89&gt;E$3,0,E$15-E215-E278)</f>
        <v>0</v>
      </c>
      <c r="F341" s="4">
        <f t="shared" si="677"/>
        <v>0</v>
      </c>
      <c r="G341" s="4">
        <f t="shared" ref="G341:J341" si="678">IF($A89&gt;G$3,0,G$15-G215-G278)</f>
        <v>0</v>
      </c>
      <c r="H341" s="4">
        <f t="shared" si="678"/>
        <v>0</v>
      </c>
      <c r="I341" s="4">
        <f t="shared" si="678"/>
        <v>0</v>
      </c>
      <c r="J341" s="4">
        <f t="shared" si="678"/>
        <v>0</v>
      </c>
      <c r="K341" s="4">
        <f t="shared" ref="K341:S341" si="679">IF($A89&gt;K$3,0,K$15-K215-K278)</f>
        <v>352.80587992679449</v>
      </c>
      <c r="L341" s="4">
        <f t="shared" si="679"/>
        <v>0</v>
      </c>
      <c r="M341" s="4">
        <f t="shared" si="679"/>
        <v>0</v>
      </c>
      <c r="N341" s="4">
        <f t="shared" si="679"/>
        <v>0</v>
      </c>
      <c r="O341" s="4">
        <f t="shared" si="679"/>
        <v>0</v>
      </c>
      <c r="P341" s="4">
        <f t="shared" si="679"/>
        <v>0</v>
      </c>
      <c r="Q341" s="4">
        <f t="shared" si="679"/>
        <v>0</v>
      </c>
      <c r="R341" s="4">
        <f t="shared" si="679"/>
        <v>0</v>
      </c>
      <c r="S341" s="4">
        <f t="shared" si="679"/>
        <v>0</v>
      </c>
      <c r="T341" s="4">
        <f t="shared" ref="T341:U341" si="680">IF($A89&gt;T$3,0,T$15-T215-T278)</f>
        <v>405.57575796283976</v>
      </c>
      <c r="U341" s="4">
        <f t="shared" si="680"/>
        <v>0</v>
      </c>
    </row>
    <row r="342" spans="1:21" x14ac:dyDescent="0.3">
      <c r="A342">
        <f t="shared" si="547"/>
        <v>35</v>
      </c>
      <c r="B342" s="1">
        <f>VLOOKUP(A342,dates!A:B,2,0)</f>
        <v>45992</v>
      </c>
      <c r="C342" s="4">
        <f t="shared" si="548"/>
        <v>0</v>
      </c>
      <c r="D342" s="4">
        <f t="shared" si="548"/>
        <v>0</v>
      </c>
      <c r="E342" s="4">
        <f t="shared" ref="E342:F342" si="681">IF($A90&gt;E$3,0,E$15-E216-E279)</f>
        <v>0</v>
      </c>
      <c r="F342" s="4">
        <f t="shared" si="681"/>
        <v>0</v>
      </c>
      <c r="G342" s="4">
        <f t="shared" ref="G342:J342" si="682">IF($A90&gt;G$3,0,G$15-G216-G279)</f>
        <v>0</v>
      </c>
      <c r="H342" s="4">
        <f t="shared" si="682"/>
        <v>0</v>
      </c>
      <c r="I342" s="4">
        <f t="shared" si="682"/>
        <v>0</v>
      </c>
      <c r="J342" s="4">
        <f t="shared" si="682"/>
        <v>0</v>
      </c>
      <c r="K342" s="4">
        <f t="shared" ref="K342:S342" si="683">IF($A90&gt;K$3,0,K$15-K216-K279)</f>
        <v>353.86429756657486</v>
      </c>
      <c r="L342" s="4">
        <f t="shared" si="683"/>
        <v>0</v>
      </c>
      <c r="M342" s="4">
        <f t="shared" si="683"/>
        <v>0</v>
      </c>
      <c r="N342" s="4">
        <f t="shared" si="683"/>
        <v>0</v>
      </c>
      <c r="O342" s="4">
        <f t="shared" si="683"/>
        <v>0</v>
      </c>
      <c r="P342" s="4">
        <f t="shared" si="683"/>
        <v>0</v>
      </c>
      <c r="Q342" s="4">
        <f t="shared" si="683"/>
        <v>0</v>
      </c>
      <c r="R342" s="4">
        <f t="shared" si="683"/>
        <v>0</v>
      </c>
      <c r="S342" s="4">
        <f t="shared" si="683"/>
        <v>0</v>
      </c>
      <c r="T342" s="4">
        <f t="shared" ref="T342:U342" si="684">IF($A90&gt;T$3,0,T$15-T216-T279)</f>
        <v>406.79248523672823</v>
      </c>
      <c r="U342" s="4">
        <f t="shared" si="684"/>
        <v>0</v>
      </c>
    </row>
    <row r="343" spans="1:21" x14ac:dyDescent="0.3">
      <c r="A343">
        <f t="shared" si="547"/>
        <v>36</v>
      </c>
      <c r="B343" s="1">
        <f>VLOOKUP(A343,dates!A:B,2,0)</f>
        <v>46023</v>
      </c>
      <c r="C343" s="4">
        <f t="shared" si="548"/>
        <v>0</v>
      </c>
      <c r="D343" s="4">
        <f t="shared" si="548"/>
        <v>0</v>
      </c>
      <c r="E343" s="4">
        <f t="shared" ref="E343:F343" si="685">IF($A91&gt;E$3,0,E$15-E217-E280)</f>
        <v>0</v>
      </c>
      <c r="F343" s="4">
        <f t="shared" si="685"/>
        <v>0</v>
      </c>
      <c r="G343" s="4">
        <f t="shared" ref="G343:J343" si="686">IF($A91&gt;G$3,0,G$15-G217-G280)</f>
        <v>0</v>
      </c>
      <c r="H343" s="4">
        <f t="shared" si="686"/>
        <v>0</v>
      </c>
      <c r="I343" s="4">
        <f t="shared" si="686"/>
        <v>0</v>
      </c>
      <c r="J343" s="4">
        <f t="shared" si="686"/>
        <v>0</v>
      </c>
      <c r="K343" s="4">
        <f t="shared" ref="K343:S343" si="687">IF($A91&gt;K$3,0,K$15-K217-K280)</f>
        <v>354.92589045927463</v>
      </c>
      <c r="L343" s="4">
        <f t="shared" si="687"/>
        <v>0</v>
      </c>
      <c r="M343" s="4">
        <f t="shared" si="687"/>
        <v>0</v>
      </c>
      <c r="N343" s="4">
        <f t="shared" si="687"/>
        <v>0</v>
      </c>
      <c r="O343" s="4">
        <f t="shared" si="687"/>
        <v>0</v>
      </c>
      <c r="P343" s="4">
        <f t="shared" si="687"/>
        <v>0</v>
      </c>
      <c r="Q343" s="4">
        <f t="shared" si="687"/>
        <v>0</v>
      </c>
      <c r="R343" s="4">
        <f t="shared" si="687"/>
        <v>0</v>
      </c>
      <c r="S343" s="4">
        <f t="shared" si="687"/>
        <v>0</v>
      </c>
      <c r="T343" s="4">
        <f t="shared" ref="T343:U343" si="688">IF($A91&gt;T$3,0,T$15-T217-T280)</f>
        <v>408.01286269243843</v>
      </c>
      <c r="U343" s="4">
        <f t="shared" si="688"/>
        <v>0</v>
      </c>
    </row>
    <row r="344" spans="1:21" x14ac:dyDescent="0.3">
      <c r="A344">
        <f t="shared" si="547"/>
        <v>37</v>
      </c>
      <c r="B344" s="1">
        <f>VLOOKUP(A344,dates!A:B,2,0)</f>
        <v>46054</v>
      </c>
      <c r="C344" s="4">
        <f t="shared" si="548"/>
        <v>0</v>
      </c>
      <c r="D344" s="4">
        <f t="shared" si="548"/>
        <v>0</v>
      </c>
      <c r="E344" s="4">
        <f t="shared" ref="E344:F344" si="689">IF($A92&gt;E$3,0,E$15-E218-E281)</f>
        <v>0</v>
      </c>
      <c r="F344" s="4">
        <f t="shared" si="689"/>
        <v>0</v>
      </c>
      <c r="G344" s="4">
        <f t="shared" ref="G344:J344" si="690">IF($A92&gt;G$3,0,G$15-G218-G281)</f>
        <v>0</v>
      </c>
      <c r="H344" s="4">
        <f t="shared" si="690"/>
        <v>0</v>
      </c>
      <c r="I344" s="4">
        <f t="shared" si="690"/>
        <v>0</v>
      </c>
      <c r="J344" s="4">
        <f t="shared" si="690"/>
        <v>0</v>
      </c>
      <c r="K344" s="4">
        <f t="shared" ref="K344:S344" si="691">IF($A92&gt;K$3,0,K$15-K218-K281)</f>
        <v>0</v>
      </c>
      <c r="L344" s="4">
        <f t="shared" si="691"/>
        <v>0</v>
      </c>
      <c r="M344" s="4">
        <f t="shared" si="691"/>
        <v>0</v>
      </c>
      <c r="N344" s="4">
        <f t="shared" si="691"/>
        <v>0</v>
      </c>
      <c r="O344" s="4">
        <f t="shared" si="691"/>
        <v>0</v>
      </c>
      <c r="P344" s="4">
        <f t="shared" si="691"/>
        <v>0</v>
      </c>
      <c r="Q344" s="4">
        <f t="shared" si="691"/>
        <v>0</v>
      </c>
      <c r="R344" s="4">
        <f t="shared" si="691"/>
        <v>0</v>
      </c>
      <c r="S344" s="4">
        <f t="shared" si="691"/>
        <v>0</v>
      </c>
      <c r="T344" s="4">
        <f t="shared" ref="T344:U344" si="692">IF($A92&gt;T$3,0,T$15-T218-T281)</f>
        <v>0</v>
      </c>
      <c r="U344" s="4">
        <f t="shared" si="692"/>
        <v>0</v>
      </c>
    </row>
    <row r="345" spans="1:21" x14ac:dyDescent="0.3">
      <c r="A345">
        <f t="shared" si="547"/>
        <v>38</v>
      </c>
      <c r="B345" s="1">
        <f>VLOOKUP(A345,dates!A:B,2,0)</f>
        <v>46082</v>
      </c>
      <c r="C345" s="4">
        <f t="shared" si="548"/>
        <v>0</v>
      </c>
      <c r="D345" s="4">
        <f t="shared" si="548"/>
        <v>0</v>
      </c>
      <c r="E345" s="4">
        <f t="shared" ref="E345:F345" si="693">IF($A93&gt;E$3,0,E$15-E219-E282)</f>
        <v>0</v>
      </c>
      <c r="F345" s="4">
        <f t="shared" si="693"/>
        <v>0</v>
      </c>
      <c r="G345" s="4">
        <f t="shared" ref="G345:J345" si="694">IF($A93&gt;G$3,0,G$15-G219-G282)</f>
        <v>0</v>
      </c>
      <c r="H345" s="4">
        <f t="shared" si="694"/>
        <v>0</v>
      </c>
      <c r="I345" s="4">
        <f t="shared" si="694"/>
        <v>0</v>
      </c>
      <c r="J345" s="4">
        <f t="shared" si="694"/>
        <v>0</v>
      </c>
      <c r="K345" s="4">
        <f t="shared" ref="K345:S345" si="695">IF($A93&gt;K$3,0,K$15-K219-K282)</f>
        <v>0</v>
      </c>
      <c r="L345" s="4">
        <f t="shared" si="695"/>
        <v>0</v>
      </c>
      <c r="M345" s="4">
        <f t="shared" si="695"/>
        <v>0</v>
      </c>
      <c r="N345" s="4">
        <f t="shared" si="695"/>
        <v>0</v>
      </c>
      <c r="O345" s="4">
        <f t="shared" si="695"/>
        <v>0</v>
      </c>
      <c r="P345" s="4">
        <f t="shared" si="695"/>
        <v>0</v>
      </c>
      <c r="Q345" s="4">
        <f t="shared" si="695"/>
        <v>0</v>
      </c>
      <c r="R345" s="4">
        <f t="shared" si="695"/>
        <v>0</v>
      </c>
      <c r="S345" s="4">
        <f t="shared" si="695"/>
        <v>0</v>
      </c>
      <c r="T345" s="4">
        <f t="shared" ref="T345:U345" si="696">IF($A93&gt;T$3,0,T$15-T219-T282)</f>
        <v>0</v>
      </c>
      <c r="U345" s="4">
        <f t="shared" si="696"/>
        <v>0</v>
      </c>
    </row>
    <row r="346" spans="1:21" x14ac:dyDescent="0.3">
      <c r="A346">
        <f t="shared" si="547"/>
        <v>39</v>
      </c>
      <c r="B346" s="1">
        <f>VLOOKUP(A346,dates!A:B,2,0)</f>
        <v>46113</v>
      </c>
      <c r="C346" s="4">
        <f t="shared" si="548"/>
        <v>0</v>
      </c>
      <c r="D346" s="4">
        <f t="shared" si="548"/>
        <v>0</v>
      </c>
      <c r="E346" s="4">
        <f t="shared" ref="E346:F346" si="697">IF($A94&gt;E$3,0,E$15-E220-E283)</f>
        <v>0</v>
      </c>
      <c r="F346" s="4">
        <f t="shared" si="697"/>
        <v>0</v>
      </c>
      <c r="G346" s="4">
        <f t="shared" ref="G346:J346" si="698">IF($A94&gt;G$3,0,G$15-G220-G283)</f>
        <v>0</v>
      </c>
      <c r="H346" s="4">
        <f t="shared" si="698"/>
        <v>0</v>
      </c>
      <c r="I346" s="4">
        <f t="shared" si="698"/>
        <v>0</v>
      </c>
      <c r="J346" s="4">
        <f t="shared" si="698"/>
        <v>0</v>
      </c>
      <c r="K346" s="4">
        <f t="shared" ref="K346:S346" si="699">IF($A94&gt;K$3,0,K$15-K220-K283)</f>
        <v>0</v>
      </c>
      <c r="L346" s="4">
        <f t="shared" si="699"/>
        <v>0</v>
      </c>
      <c r="M346" s="4">
        <f t="shared" si="699"/>
        <v>0</v>
      </c>
      <c r="N346" s="4">
        <f t="shared" si="699"/>
        <v>0</v>
      </c>
      <c r="O346" s="4">
        <f t="shared" si="699"/>
        <v>0</v>
      </c>
      <c r="P346" s="4">
        <f t="shared" si="699"/>
        <v>0</v>
      </c>
      <c r="Q346" s="4">
        <f t="shared" si="699"/>
        <v>0</v>
      </c>
      <c r="R346" s="4">
        <f t="shared" si="699"/>
        <v>0</v>
      </c>
      <c r="S346" s="4">
        <f t="shared" si="699"/>
        <v>0</v>
      </c>
      <c r="T346" s="4">
        <f t="shared" ref="T346:U346" si="700">IF($A94&gt;T$3,0,T$15-T220-T283)</f>
        <v>0</v>
      </c>
      <c r="U346" s="4">
        <f t="shared" si="700"/>
        <v>0</v>
      </c>
    </row>
    <row r="347" spans="1:21" x14ac:dyDescent="0.3">
      <c r="A347">
        <f t="shared" si="547"/>
        <v>40</v>
      </c>
      <c r="B347" s="1">
        <f>VLOOKUP(A347,dates!A:B,2,0)</f>
        <v>46143</v>
      </c>
      <c r="C347" s="4">
        <f t="shared" si="548"/>
        <v>0</v>
      </c>
      <c r="D347" s="4">
        <f t="shared" si="548"/>
        <v>0</v>
      </c>
      <c r="E347" s="4">
        <f t="shared" ref="E347:F347" si="701">IF($A95&gt;E$3,0,E$15-E221-E284)</f>
        <v>0</v>
      </c>
      <c r="F347" s="4">
        <f t="shared" si="701"/>
        <v>0</v>
      </c>
      <c r="G347" s="4">
        <f t="shared" ref="G347:J347" si="702">IF($A95&gt;G$3,0,G$15-G221-G284)</f>
        <v>0</v>
      </c>
      <c r="H347" s="4">
        <f t="shared" si="702"/>
        <v>0</v>
      </c>
      <c r="I347" s="4">
        <f t="shared" si="702"/>
        <v>0</v>
      </c>
      <c r="J347" s="4">
        <f t="shared" si="702"/>
        <v>0</v>
      </c>
      <c r="K347" s="4">
        <f t="shared" ref="K347:S347" si="703">IF($A95&gt;K$3,0,K$15-K221-K284)</f>
        <v>0</v>
      </c>
      <c r="L347" s="4">
        <f t="shared" si="703"/>
        <v>0</v>
      </c>
      <c r="M347" s="4">
        <f t="shared" si="703"/>
        <v>0</v>
      </c>
      <c r="N347" s="4">
        <f t="shared" si="703"/>
        <v>0</v>
      </c>
      <c r="O347" s="4">
        <f t="shared" si="703"/>
        <v>0</v>
      </c>
      <c r="P347" s="4">
        <f t="shared" si="703"/>
        <v>0</v>
      </c>
      <c r="Q347" s="4">
        <f t="shared" si="703"/>
        <v>0</v>
      </c>
      <c r="R347" s="4">
        <f t="shared" si="703"/>
        <v>0</v>
      </c>
      <c r="S347" s="4">
        <f t="shared" si="703"/>
        <v>0</v>
      </c>
      <c r="T347" s="4">
        <f t="shared" ref="T347:U347" si="704">IF($A95&gt;T$3,0,T$15-T221-T284)</f>
        <v>0</v>
      </c>
      <c r="U347" s="4">
        <f t="shared" si="704"/>
        <v>0</v>
      </c>
    </row>
    <row r="348" spans="1:21" x14ac:dyDescent="0.3">
      <c r="A348">
        <f t="shared" si="547"/>
        <v>41</v>
      </c>
      <c r="B348" s="1">
        <f>VLOOKUP(A348,dates!A:B,2,0)</f>
        <v>46174</v>
      </c>
      <c r="C348" s="4">
        <f t="shared" si="548"/>
        <v>0</v>
      </c>
      <c r="D348" s="4">
        <f t="shared" si="548"/>
        <v>0</v>
      </c>
      <c r="E348" s="4">
        <f t="shared" ref="E348:F348" si="705">IF($A96&gt;E$3,0,E$15-E222-E285)</f>
        <v>0</v>
      </c>
      <c r="F348" s="4">
        <f t="shared" si="705"/>
        <v>0</v>
      </c>
      <c r="G348" s="4">
        <f t="shared" ref="G348:J348" si="706">IF($A96&gt;G$3,0,G$15-G222-G285)</f>
        <v>0</v>
      </c>
      <c r="H348" s="4">
        <f t="shared" si="706"/>
        <v>0</v>
      </c>
      <c r="I348" s="4">
        <f t="shared" si="706"/>
        <v>0</v>
      </c>
      <c r="J348" s="4">
        <f t="shared" si="706"/>
        <v>0</v>
      </c>
      <c r="K348" s="4">
        <f t="shared" ref="K348:S348" si="707">IF($A96&gt;K$3,0,K$15-K222-K285)</f>
        <v>0</v>
      </c>
      <c r="L348" s="4">
        <f t="shared" si="707"/>
        <v>0</v>
      </c>
      <c r="M348" s="4">
        <f t="shared" si="707"/>
        <v>0</v>
      </c>
      <c r="N348" s="4">
        <f t="shared" si="707"/>
        <v>0</v>
      </c>
      <c r="O348" s="4">
        <f t="shared" si="707"/>
        <v>0</v>
      </c>
      <c r="P348" s="4">
        <f t="shared" si="707"/>
        <v>0</v>
      </c>
      <c r="Q348" s="4">
        <f t="shared" si="707"/>
        <v>0</v>
      </c>
      <c r="R348" s="4">
        <f t="shared" si="707"/>
        <v>0</v>
      </c>
      <c r="S348" s="4">
        <f t="shared" si="707"/>
        <v>0</v>
      </c>
      <c r="T348" s="4">
        <f t="shared" ref="T348:U348" si="708">IF($A96&gt;T$3,0,T$15-T222-T285)</f>
        <v>0</v>
      </c>
      <c r="U348" s="4">
        <f t="shared" si="708"/>
        <v>0</v>
      </c>
    </row>
    <row r="349" spans="1:21" x14ac:dyDescent="0.3">
      <c r="A349">
        <f t="shared" si="547"/>
        <v>42</v>
      </c>
      <c r="B349" s="1">
        <f>VLOOKUP(A349,dates!A:B,2,0)</f>
        <v>46204</v>
      </c>
      <c r="C349" s="4">
        <f t="shared" si="548"/>
        <v>0</v>
      </c>
      <c r="D349" s="4">
        <f t="shared" si="548"/>
        <v>0</v>
      </c>
      <c r="E349" s="4">
        <f t="shared" ref="E349:F349" si="709">IF($A97&gt;E$3,0,E$15-E223-E286)</f>
        <v>0</v>
      </c>
      <c r="F349" s="4">
        <f t="shared" si="709"/>
        <v>0</v>
      </c>
      <c r="G349" s="4">
        <f t="shared" ref="G349:J349" si="710">IF($A97&gt;G$3,0,G$15-G223-G286)</f>
        <v>0</v>
      </c>
      <c r="H349" s="4">
        <f t="shared" si="710"/>
        <v>0</v>
      </c>
      <c r="I349" s="4">
        <f t="shared" si="710"/>
        <v>0</v>
      </c>
      <c r="J349" s="4">
        <f t="shared" si="710"/>
        <v>0</v>
      </c>
      <c r="K349" s="4">
        <f t="shared" ref="K349:S349" si="711">IF($A97&gt;K$3,0,K$15-K223-K286)</f>
        <v>0</v>
      </c>
      <c r="L349" s="4">
        <f t="shared" si="711"/>
        <v>0</v>
      </c>
      <c r="M349" s="4">
        <f t="shared" si="711"/>
        <v>0</v>
      </c>
      <c r="N349" s="4">
        <f t="shared" si="711"/>
        <v>0</v>
      </c>
      <c r="O349" s="4">
        <f t="shared" si="711"/>
        <v>0</v>
      </c>
      <c r="P349" s="4">
        <f t="shared" si="711"/>
        <v>0</v>
      </c>
      <c r="Q349" s="4">
        <f t="shared" si="711"/>
        <v>0</v>
      </c>
      <c r="R349" s="4">
        <f t="shared" si="711"/>
        <v>0</v>
      </c>
      <c r="S349" s="4">
        <f t="shared" si="711"/>
        <v>0</v>
      </c>
      <c r="T349" s="4">
        <f t="shared" ref="T349:U349" si="712">IF($A97&gt;T$3,0,T$15-T223-T286)</f>
        <v>0</v>
      </c>
      <c r="U349" s="4">
        <f t="shared" si="712"/>
        <v>0</v>
      </c>
    </row>
    <row r="350" spans="1:21" x14ac:dyDescent="0.3">
      <c r="A350">
        <f t="shared" si="547"/>
        <v>43</v>
      </c>
      <c r="B350" s="1">
        <f>VLOOKUP(A350,dates!A:B,2,0)</f>
        <v>46235</v>
      </c>
      <c r="C350" s="4">
        <f t="shared" si="548"/>
        <v>0</v>
      </c>
      <c r="D350" s="4">
        <f t="shared" si="548"/>
        <v>0</v>
      </c>
      <c r="E350" s="4">
        <f t="shared" ref="E350:F350" si="713">IF($A98&gt;E$3,0,E$15-E224-E287)</f>
        <v>0</v>
      </c>
      <c r="F350" s="4">
        <f t="shared" si="713"/>
        <v>0</v>
      </c>
      <c r="G350" s="4">
        <f t="shared" ref="G350:J350" si="714">IF($A98&gt;G$3,0,G$15-G224-G287)</f>
        <v>0</v>
      </c>
      <c r="H350" s="4">
        <f t="shared" si="714"/>
        <v>0</v>
      </c>
      <c r="I350" s="4">
        <f t="shared" si="714"/>
        <v>0</v>
      </c>
      <c r="J350" s="4">
        <f t="shared" si="714"/>
        <v>0</v>
      </c>
      <c r="K350" s="4">
        <f t="shared" ref="K350:S350" si="715">IF($A98&gt;K$3,0,K$15-K224-K287)</f>
        <v>0</v>
      </c>
      <c r="L350" s="4">
        <f t="shared" si="715"/>
        <v>0</v>
      </c>
      <c r="M350" s="4">
        <f t="shared" si="715"/>
        <v>0</v>
      </c>
      <c r="N350" s="4">
        <f t="shared" si="715"/>
        <v>0</v>
      </c>
      <c r="O350" s="4">
        <f t="shared" si="715"/>
        <v>0</v>
      </c>
      <c r="P350" s="4">
        <f t="shared" si="715"/>
        <v>0</v>
      </c>
      <c r="Q350" s="4">
        <f t="shared" si="715"/>
        <v>0</v>
      </c>
      <c r="R350" s="4">
        <f t="shared" si="715"/>
        <v>0</v>
      </c>
      <c r="S350" s="4">
        <f t="shared" si="715"/>
        <v>0</v>
      </c>
      <c r="T350" s="4">
        <f t="shared" ref="T350:U350" si="716">IF($A98&gt;T$3,0,T$15-T224-T287)</f>
        <v>0</v>
      </c>
      <c r="U350" s="4">
        <f t="shared" si="716"/>
        <v>0</v>
      </c>
    </row>
    <row r="351" spans="1:21" x14ac:dyDescent="0.3">
      <c r="A351">
        <f t="shared" si="547"/>
        <v>44</v>
      </c>
      <c r="B351" s="1">
        <f>VLOOKUP(A351,dates!A:B,2,0)</f>
        <v>46266</v>
      </c>
      <c r="C351" s="4">
        <f t="shared" si="548"/>
        <v>0</v>
      </c>
      <c r="D351" s="4">
        <f t="shared" si="548"/>
        <v>0</v>
      </c>
      <c r="E351" s="4">
        <f t="shared" ref="E351:F351" si="717">IF($A99&gt;E$3,0,E$15-E225-E288)</f>
        <v>0</v>
      </c>
      <c r="F351" s="4">
        <f t="shared" si="717"/>
        <v>0</v>
      </c>
      <c r="G351" s="4">
        <f t="shared" ref="G351:J351" si="718">IF($A99&gt;G$3,0,G$15-G225-G288)</f>
        <v>0</v>
      </c>
      <c r="H351" s="4">
        <f t="shared" si="718"/>
        <v>0</v>
      </c>
      <c r="I351" s="4">
        <f t="shared" si="718"/>
        <v>0</v>
      </c>
      <c r="J351" s="4">
        <f t="shared" si="718"/>
        <v>0</v>
      </c>
      <c r="K351" s="4">
        <f t="shared" ref="K351:S351" si="719">IF($A99&gt;K$3,0,K$15-K225-K288)</f>
        <v>0</v>
      </c>
      <c r="L351" s="4">
        <f t="shared" si="719"/>
        <v>0</v>
      </c>
      <c r="M351" s="4">
        <f t="shared" si="719"/>
        <v>0</v>
      </c>
      <c r="N351" s="4">
        <f t="shared" si="719"/>
        <v>0</v>
      </c>
      <c r="O351" s="4">
        <f t="shared" si="719"/>
        <v>0</v>
      </c>
      <c r="P351" s="4">
        <f t="shared" si="719"/>
        <v>0</v>
      </c>
      <c r="Q351" s="4">
        <f t="shared" si="719"/>
        <v>0</v>
      </c>
      <c r="R351" s="4">
        <f t="shared" si="719"/>
        <v>0</v>
      </c>
      <c r="S351" s="4">
        <f t="shared" si="719"/>
        <v>0</v>
      </c>
      <c r="T351" s="4">
        <f t="shared" ref="T351:U351" si="720">IF($A99&gt;T$3,0,T$15-T225-T288)</f>
        <v>0</v>
      </c>
      <c r="U351" s="4">
        <f t="shared" si="720"/>
        <v>0</v>
      </c>
    </row>
    <row r="352" spans="1:21" x14ac:dyDescent="0.3">
      <c r="A352">
        <f t="shared" si="547"/>
        <v>45</v>
      </c>
      <c r="B352" s="1">
        <f>VLOOKUP(A352,dates!A:B,2,0)</f>
        <v>46296</v>
      </c>
      <c r="C352" s="4">
        <f t="shared" si="548"/>
        <v>0</v>
      </c>
      <c r="D352" s="4">
        <f t="shared" si="548"/>
        <v>0</v>
      </c>
      <c r="E352" s="4">
        <f t="shared" ref="E352:F352" si="721">IF($A100&gt;E$3,0,E$15-E226-E289)</f>
        <v>0</v>
      </c>
      <c r="F352" s="4">
        <f t="shared" si="721"/>
        <v>0</v>
      </c>
      <c r="G352" s="4">
        <f t="shared" ref="G352:J352" si="722">IF($A100&gt;G$3,0,G$15-G226-G289)</f>
        <v>0</v>
      </c>
      <c r="H352" s="4">
        <f t="shared" si="722"/>
        <v>0</v>
      </c>
      <c r="I352" s="4">
        <f t="shared" si="722"/>
        <v>0</v>
      </c>
      <c r="J352" s="4">
        <f t="shared" si="722"/>
        <v>0</v>
      </c>
      <c r="K352" s="4">
        <f t="shared" ref="K352:S352" si="723">IF($A100&gt;K$3,0,K$15-K226-K289)</f>
        <v>0</v>
      </c>
      <c r="L352" s="4">
        <f t="shared" si="723"/>
        <v>0</v>
      </c>
      <c r="M352" s="4">
        <f t="shared" si="723"/>
        <v>0</v>
      </c>
      <c r="N352" s="4">
        <f t="shared" si="723"/>
        <v>0</v>
      </c>
      <c r="O352" s="4">
        <f t="shared" si="723"/>
        <v>0</v>
      </c>
      <c r="P352" s="4">
        <f t="shared" si="723"/>
        <v>0</v>
      </c>
      <c r="Q352" s="4">
        <f t="shared" si="723"/>
        <v>0</v>
      </c>
      <c r="R352" s="4">
        <f t="shared" si="723"/>
        <v>0</v>
      </c>
      <c r="S352" s="4">
        <f t="shared" si="723"/>
        <v>0</v>
      </c>
      <c r="T352" s="4">
        <f t="shared" ref="T352:U352" si="724">IF($A100&gt;T$3,0,T$15-T226-T289)</f>
        <v>0</v>
      </c>
      <c r="U352" s="4">
        <f t="shared" si="724"/>
        <v>0</v>
      </c>
    </row>
    <row r="353" spans="1:21" x14ac:dyDescent="0.3">
      <c r="A353">
        <f t="shared" si="547"/>
        <v>46</v>
      </c>
      <c r="B353" s="1">
        <f>VLOOKUP(A353,dates!A:B,2,0)</f>
        <v>46327</v>
      </c>
      <c r="C353" s="4">
        <f t="shared" si="548"/>
        <v>0</v>
      </c>
      <c r="D353" s="4">
        <f t="shared" si="548"/>
        <v>0</v>
      </c>
      <c r="E353" s="4">
        <f t="shared" ref="E353:F353" si="725">IF($A101&gt;E$3,0,E$15-E227-E290)</f>
        <v>0</v>
      </c>
      <c r="F353" s="4">
        <f t="shared" si="725"/>
        <v>0</v>
      </c>
      <c r="G353" s="4">
        <f t="shared" ref="G353:J353" si="726">IF($A101&gt;G$3,0,G$15-G227-G290)</f>
        <v>0</v>
      </c>
      <c r="H353" s="4">
        <f t="shared" si="726"/>
        <v>0</v>
      </c>
      <c r="I353" s="4">
        <f t="shared" si="726"/>
        <v>0</v>
      </c>
      <c r="J353" s="4">
        <f t="shared" si="726"/>
        <v>0</v>
      </c>
      <c r="K353" s="4">
        <f t="shared" ref="K353:S353" si="727">IF($A101&gt;K$3,0,K$15-K227-K290)</f>
        <v>0</v>
      </c>
      <c r="L353" s="4">
        <f t="shared" si="727"/>
        <v>0</v>
      </c>
      <c r="M353" s="4">
        <f t="shared" si="727"/>
        <v>0</v>
      </c>
      <c r="N353" s="4">
        <f t="shared" si="727"/>
        <v>0</v>
      </c>
      <c r="O353" s="4">
        <f t="shared" si="727"/>
        <v>0</v>
      </c>
      <c r="P353" s="4">
        <f t="shared" si="727"/>
        <v>0</v>
      </c>
      <c r="Q353" s="4">
        <f t="shared" si="727"/>
        <v>0</v>
      </c>
      <c r="R353" s="4">
        <f t="shared" si="727"/>
        <v>0</v>
      </c>
      <c r="S353" s="4">
        <f t="shared" si="727"/>
        <v>0</v>
      </c>
      <c r="T353" s="4">
        <f t="shared" ref="T353:U353" si="728">IF($A101&gt;T$3,0,T$15-T227-T290)</f>
        <v>0</v>
      </c>
      <c r="U353" s="4">
        <f t="shared" si="728"/>
        <v>0</v>
      </c>
    </row>
    <row r="354" spans="1:21" x14ac:dyDescent="0.3">
      <c r="A354">
        <f t="shared" si="547"/>
        <v>47</v>
      </c>
      <c r="B354" s="1">
        <f>VLOOKUP(A354,dates!A:B,2,0)</f>
        <v>46357</v>
      </c>
      <c r="C354" s="4">
        <f t="shared" si="548"/>
        <v>0</v>
      </c>
      <c r="D354" s="4">
        <f t="shared" si="548"/>
        <v>0</v>
      </c>
      <c r="E354" s="4">
        <f t="shared" ref="E354:F354" si="729">IF($A102&gt;E$3,0,E$15-E228-E291)</f>
        <v>0</v>
      </c>
      <c r="F354" s="4">
        <f t="shared" si="729"/>
        <v>0</v>
      </c>
      <c r="G354" s="4">
        <f t="shared" ref="G354:J354" si="730">IF($A102&gt;G$3,0,G$15-G228-G291)</f>
        <v>0</v>
      </c>
      <c r="H354" s="4">
        <f t="shared" si="730"/>
        <v>0</v>
      </c>
      <c r="I354" s="4">
        <f t="shared" si="730"/>
        <v>0</v>
      </c>
      <c r="J354" s="4">
        <f t="shared" si="730"/>
        <v>0</v>
      </c>
      <c r="K354" s="4">
        <f t="shared" ref="K354:S354" si="731">IF($A102&gt;K$3,0,K$15-K228-K291)</f>
        <v>0</v>
      </c>
      <c r="L354" s="4">
        <f t="shared" si="731"/>
        <v>0</v>
      </c>
      <c r="M354" s="4">
        <f t="shared" si="731"/>
        <v>0</v>
      </c>
      <c r="N354" s="4">
        <f t="shared" si="731"/>
        <v>0</v>
      </c>
      <c r="O354" s="4">
        <f t="shared" si="731"/>
        <v>0</v>
      </c>
      <c r="P354" s="4">
        <f t="shared" si="731"/>
        <v>0</v>
      </c>
      <c r="Q354" s="4">
        <f t="shared" si="731"/>
        <v>0</v>
      </c>
      <c r="R354" s="4">
        <f t="shared" si="731"/>
        <v>0</v>
      </c>
      <c r="S354" s="4">
        <f t="shared" si="731"/>
        <v>0</v>
      </c>
      <c r="T354" s="4">
        <f t="shared" ref="T354:U354" si="732">IF($A102&gt;T$3,0,T$15-T228-T291)</f>
        <v>0</v>
      </c>
      <c r="U354" s="4">
        <f t="shared" si="732"/>
        <v>0</v>
      </c>
    </row>
    <row r="355" spans="1:21" x14ac:dyDescent="0.3">
      <c r="A355">
        <f t="shared" si="547"/>
        <v>48</v>
      </c>
      <c r="B355" s="1">
        <f>VLOOKUP(A355,dates!A:B,2,0)</f>
        <v>46388</v>
      </c>
      <c r="C355" s="4">
        <f t="shared" si="548"/>
        <v>0</v>
      </c>
      <c r="D355" s="4">
        <f t="shared" si="548"/>
        <v>0</v>
      </c>
      <c r="E355" s="4">
        <f t="shared" ref="E355:F355" si="733">IF($A103&gt;E$3,0,E$15-E229-E292)</f>
        <v>0</v>
      </c>
      <c r="F355" s="4">
        <f t="shared" si="733"/>
        <v>0</v>
      </c>
      <c r="G355" s="4">
        <f t="shared" ref="G355:J355" si="734">IF($A103&gt;G$3,0,G$15-G229-G292)</f>
        <v>0</v>
      </c>
      <c r="H355" s="4">
        <f t="shared" si="734"/>
        <v>0</v>
      </c>
      <c r="I355" s="4">
        <f t="shared" si="734"/>
        <v>0</v>
      </c>
      <c r="J355" s="4">
        <f t="shared" si="734"/>
        <v>0</v>
      </c>
      <c r="K355" s="4">
        <f t="shared" ref="K355:S355" si="735">IF($A103&gt;K$3,0,K$15-K229-K292)</f>
        <v>0</v>
      </c>
      <c r="L355" s="4">
        <f t="shared" si="735"/>
        <v>0</v>
      </c>
      <c r="M355" s="4">
        <f t="shared" si="735"/>
        <v>0</v>
      </c>
      <c r="N355" s="4">
        <f t="shared" si="735"/>
        <v>0</v>
      </c>
      <c r="O355" s="4">
        <f t="shared" si="735"/>
        <v>0</v>
      </c>
      <c r="P355" s="4">
        <f t="shared" si="735"/>
        <v>0</v>
      </c>
      <c r="Q355" s="4">
        <f t="shared" si="735"/>
        <v>0</v>
      </c>
      <c r="R355" s="4">
        <f t="shared" si="735"/>
        <v>0</v>
      </c>
      <c r="S355" s="4">
        <f t="shared" si="735"/>
        <v>0</v>
      </c>
      <c r="T355" s="4">
        <f t="shared" ref="T355:U355" si="736">IF($A103&gt;T$3,0,T$15-T229-T292)</f>
        <v>0</v>
      </c>
      <c r="U355" s="4">
        <f t="shared" si="736"/>
        <v>0</v>
      </c>
    </row>
    <row r="356" spans="1:21" x14ac:dyDescent="0.3">
      <c r="A356">
        <f t="shared" si="547"/>
        <v>49</v>
      </c>
      <c r="B356" s="1">
        <f>VLOOKUP(A356,dates!A:B,2,0)</f>
        <v>46419</v>
      </c>
      <c r="C356" s="4">
        <f t="shared" si="548"/>
        <v>0</v>
      </c>
      <c r="D356" s="4">
        <f t="shared" si="548"/>
        <v>0</v>
      </c>
      <c r="E356" s="4">
        <f t="shared" ref="E356:F356" si="737">IF($A104&gt;E$3,0,E$15-E230-E293)</f>
        <v>0</v>
      </c>
      <c r="F356" s="4">
        <f t="shared" si="737"/>
        <v>0</v>
      </c>
      <c r="G356" s="4">
        <f t="shared" ref="G356:J356" si="738">IF($A104&gt;G$3,0,G$15-G230-G293)</f>
        <v>0</v>
      </c>
      <c r="H356" s="4">
        <f t="shared" si="738"/>
        <v>0</v>
      </c>
      <c r="I356" s="4">
        <f t="shared" si="738"/>
        <v>0</v>
      </c>
      <c r="J356" s="4">
        <f t="shared" si="738"/>
        <v>0</v>
      </c>
      <c r="K356" s="4">
        <f t="shared" ref="K356:S356" si="739">IF($A104&gt;K$3,0,K$15-K230-K293)</f>
        <v>0</v>
      </c>
      <c r="L356" s="4">
        <f t="shared" si="739"/>
        <v>0</v>
      </c>
      <c r="M356" s="4">
        <f t="shared" si="739"/>
        <v>0</v>
      </c>
      <c r="N356" s="4">
        <f t="shared" si="739"/>
        <v>0</v>
      </c>
      <c r="O356" s="4">
        <f t="shared" si="739"/>
        <v>0</v>
      </c>
      <c r="P356" s="4">
        <f t="shared" si="739"/>
        <v>0</v>
      </c>
      <c r="Q356" s="4">
        <f t="shared" si="739"/>
        <v>0</v>
      </c>
      <c r="R356" s="4">
        <f t="shared" si="739"/>
        <v>0</v>
      </c>
      <c r="S356" s="4">
        <f t="shared" si="739"/>
        <v>0</v>
      </c>
      <c r="T356" s="4">
        <f t="shared" ref="T356:U356" si="740">IF($A104&gt;T$3,0,T$15-T230-T293)</f>
        <v>0</v>
      </c>
      <c r="U356" s="4">
        <f t="shared" si="740"/>
        <v>0</v>
      </c>
    </row>
    <row r="357" spans="1:21" x14ac:dyDescent="0.3">
      <c r="A357">
        <f t="shared" si="547"/>
        <v>50</v>
      </c>
      <c r="B357" s="1">
        <f>VLOOKUP(A357,dates!A:B,2,0)</f>
        <v>46447</v>
      </c>
      <c r="C357" s="4">
        <f t="shared" si="548"/>
        <v>0</v>
      </c>
      <c r="D357" s="4">
        <f t="shared" si="548"/>
        <v>0</v>
      </c>
      <c r="E357" s="4">
        <f t="shared" ref="E357:F357" si="741">IF($A105&gt;E$3,0,E$15-E231-E294)</f>
        <v>0</v>
      </c>
      <c r="F357" s="4">
        <f t="shared" si="741"/>
        <v>0</v>
      </c>
      <c r="G357" s="4">
        <f t="shared" ref="G357:J357" si="742">IF($A105&gt;G$3,0,G$15-G231-G294)</f>
        <v>0</v>
      </c>
      <c r="H357" s="4">
        <f t="shared" si="742"/>
        <v>0</v>
      </c>
      <c r="I357" s="4">
        <f t="shared" si="742"/>
        <v>0</v>
      </c>
      <c r="J357" s="4">
        <f t="shared" si="742"/>
        <v>0</v>
      </c>
      <c r="K357" s="4">
        <f t="shared" ref="K357:S357" si="743">IF($A105&gt;K$3,0,K$15-K231-K294)</f>
        <v>0</v>
      </c>
      <c r="L357" s="4">
        <f t="shared" si="743"/>
        <v>0</v>
      </c>
      <c r="M357" s="4">
        <f t="shared" si="743"/>
        <v>0</v>
      </c>
      <c r="N357" s="4">
        <f t="shared" si="743"/>
        <v>0</v>
      </c>
      <c r="O357" s="4">
        <f t="shared" si="743"/>
        <v>0</v>
      </c>
      <c r="P357" s="4">
        <f t="shared" si="743"/>
        <v>0</v>
      </c>
      <c r="Q357" s="4">
        <f t="shared" si="743"/>
        <v>0</v>
      </c>
      <c r="R357" s="4">
        <f t="shared" si="743"/>
        <v>0</v>
      </c>
      <c r="S357" s="4">
        <f t="shared" si="743"/>
        <v>0</v>
      </c>
      <c r="T357" s="4">
        <f t="shared" ref="T357:U357" si="744">IF($A105&gt;T$3,0,T$15-T231-T294)</f>
        <v>0</v>
      </c>
      <c r="U357" s="4">
        <f t="shared" si="744"/>
        <v>0</v>
      </c>
    </row>
    <row r="358" spans="1:21" x14ac:dyDescent="0.3">
      <c r="A358">
        <f t="shared" si="547"/>
        <v>51</v>
      </c>
      <c r="B358" s="1">
        <f>VLOOKUP(A358,dates!A:B,2,0)</f>
        <v>46478</v>
      </c>
      <c r="C358" s="4">
        <f t="shared" si="548"/>
        <v>0</v>
      </c>
      <c r="D358" s="4">
        <f t="shared" si="548"/>
        <v>0</v>
      </c>
      <c r="E358" s="4">
        <f t="shared" ref="E358:F358" si="745">IF($A106&gt;E$3,0,E$15-E232-E295)</f>
        <v>0</v>
      </c>
      <c r="F358" s="4">
        <f t="shared" si="745"/>
        <v>0</v>
      </c>
      <c r="G358" s="4">
        <f t="shared" ref="G358:J358" si="746">IF($A106&gt;G$3,0,G$15-G232-G295)</f>
        <v>0</v>
      </c>
      <c r="H358" s="4">
        <f t="shared" si="746"/>
        <v>0</v>
      </c>
      <c r="I358" s="4">
        <f t="shared" si="746"/>
        <v>0</v>
      </c>
      <c r="J358" s="4">
        <f t="shared" si="746"/>
        <v>0</v>
      </c>
      <c r="K358" s="4">
        <f t="shared" ref="K358:S358" si="747">IF($A106&gt;K$3,0,K$15-K232-K295)</f>
        <v>0</v>
      </c>
      <c r="L358" s="4">
        <f t="shared" si="747"/>
        <v>0</v>
      </c>
      <c r="M358" s="4">
        <f t="shared" si="747"/>
        <v>0</v>
      </c>
      <c r="N358" s="4">
        <f t="shared" si="747"/>
        <v>0</v>
      </c>
      <c r="O358" s="4">
        <f t="shared" si="747"/>
        <v>0</v>
      </c>
      <c r="P358" s="4">
        <f t="shared" si="747"/>
        <v>0</v>
      </c>
      <c r="Q358" s="4">
        <f t="shared" si="747"/>
        <v>0</v>
      </c>
      <c r="R358" s="4">
        <f t="shared" si="747"/>
        <v>0</v>
      </c>
      <c r="S358" s="4">
        <f t="shared" si="747"/>
        <v>0</v>
      </c>
      <c r="T358" s="4">
        <f t="shared" ref="T358:U358" si="748">IF($A106&gt;T$3,0,T$15-T232-T295)</f>
        <v>0</v>
      </c>
      <c r="U358" s="4">
        <f t="shared" si="748"/>
        <v>0</v>
      </c>
    </row>
    <row r="359" spans="1:21" x14ac:dyDescent="0.3">
      <c r="A359">
        <f t="shared" si="547"/>
        <v>52</v>
      </c>
      <c r="B359" s="1">
        <f>VLOOKUP(A359,dates!A:B,2,0)</f>
        <v>46508</v>
      </c>
      <c r="C359" s="4">
        <f t="shared" si="548"/>
        <v>0</v>
      </c>
      <c r="D359" s="4">
        <f t="shared" si="548"/>
        <v>0</v>
      </c>
      <c r="E359" s="4">
        <f t="shared" ref="E359:F359" si="749">IF($A107&gt;E$3,0,E$15-E233-E296)</f>
        <v>0</v>
      </c>
      <c r="F359" s="4">
        <f t="shared" si="749"/>
        <v>0</v>
      </c>
      <c r="G359" s="4">
        <f t="shared" ref="G359:J359" si="750">IF($A107&gt;G$3,0,G$15-G233-G296)</f>
        <v>0</v>
      </c>
      <c r="H359" s="4">
        <f t="shared" si="750"/>
        <v>0</v>
      </c>
      <c r="I359" s="4">
        <f t="shared" si="750"/>
        <v>0</v>
      </c>
      <c r="J359" s="4">
        <f t="shared" si="750"/>
        <v>0</v>
      </c>
      <c r="K359" s="4">
        <f t="shared" ref="K359:S359" si="751">IF($A107&gt;K$3,0,K$15-K233-K296)</f>
        <v>0</v>
      </c>
      <c r="L359" s="4">
        <f t="shared" si="751"/>
        <v>0</v>
      </c>
      <c r="M359" s="4">
        <f t="shared" si="751"/>
        <v>0</v>
      </c>
      <c r="N359" s="4">
        <f t="shared" si="751"/>
        <v>0</v>
      </c>
      <c r="O359" s="4">
        <f t="shared" si="751"/>
        <v>0</v>
      </c>
      <c r="P359" s="4">
        <f t="shared" si="751"/>
        <v>0</v>
      </c>
      <c r="Q359" s="4">
        <f t="shared" si="751"/>
        <v>0</v>
      </c>
      <c r="R359" s="4">
        <f t="shared" si="751"/>
        <v>0</v>
      </c>
      <c r="S359" s="4">
        <f t="shared" si="751"/>
        <v>0</v>
      </c>
      <c r="T359" s="4">
        <f t="shared" ref="T359:U359" si="752">IF($A107&gt;T$3,0,T$15-T233-T296)</f>
        <v>0</v>
      </c>
      <c r="U359" s="4">
        <f t="shared" si="752"/>
        <v>0</v>
      </c>
    </row>
    <row r="360" spans="1:21" x14ac:dyDescent="0.3">
      <c r="A360">
        <f t="shared" si="547"/>
        <v>53</v>
      </c>
      <c r="B360" s="1">
        <f>VLOOKUP(A360,dates!A:B,2,0)</f>
        <v>46539</v>
      </c>
      <c r="C360" s="4">
        <f t="shared" si="548"/>
        <v>0</v>
      </c>
      <c r="D360" s="4">
        <f t="shared" si="548"/>
        <v>0</v>
      </c>
      <c r="E360" s="4">
        <f t="shared" ref="E360:F360" si="753">IF($A108&gt;E$3,0,E$15-E234-E297)</f>
        <v>0</v>
      </c>
      <c r="F360" s="4">
        <f t="shared" si="753"/>
        <v>0</v>
      </c>
      <c r="G360" s="4">
        <f t="shared" ref="G360:J360" si="754">IF($A108&gt;G$3,0,G$15-G234-G297)</f>
        <v>0</v>
      </c>
      <c r="H360" s="4">
        <f t="shared" si="754"/>
        <v>0</v>
      </c>
      <c r="I360" s="4">
        <f t="shared" si="754"/>
        <v>0</v>
      </c>
      <c r="J360" s="4">
        <f t="shared" si="754"/>
        <v>0</v>
      </c>
      <c r="K360" s="4">
        <f t="shared" ref="K360:S360" si="755">IF($A108&gt;K$3,0,K$15-K234-K297)</f>
        <v>0</v>
      </c>
      <c r="L360" s="4">
        <f t="shared" si="755"/>
        <v>0</v>
      </c>
      <c r="M360" s="4">
        <f t="shared" si="755"/>
        <v>0</v>
      </c>
      <c r="N360" s="4">
        <f t="shared" si="755"/>
        <v>0</v>
      </c>
      <c r="O360" s="4">
        <f t="shared" si="755"/>
        <v>0</v>
      </c>
      <c r="P360" s="4">
        <f t="shared" si="755"/>
        <v>0</v>
      </c>
      <c r="Q360" s="4">
        <f t="shared" si="755"/>
        <v>0</v>
      </c>
      <c r="R360" s="4">
        <f t="shared" si="755"/>
        <v>0</v>
      </c>
      <c r="S360" s="4">
        <f t="shared" si="755"/>
        <v>0</v>
      </c>
      <c r="T360" s="4">
        <f t="shared" ref="T360:U360" si="756">IF($A108&gt;T$3,0,T$15-T234-T297)</f>
        <v>0</v>
      </c>
      <c r="U360" s="4">
        <f t="shared" si="756"/>
        <v>0</v>
      </c>
    </row>
    <row r="361" spans="1:21" x14ac:dyDescent="0.3">
      <c r="A361">
        <f t="shared" si="547"/>
        <v>54</v>
      </c>
      <c r="B361" s="1">
        <f>VLOOKUP(A361,dates!A:B,2,0)</f>
        <v>46569</v>
      </c>
      <c r="C361" s="4">
        <f t="shared" si="548"/>
        <v>0</v>
      </c>
      <c r="D361" s="4">
        <f t="shared" si="548"/>
        <v>0</v>
      </c>
      <c r="E361" s="4">
        <f t="shared" ref="E361:F361" si="757">IF($A109&gt;E$3,0,E$15-E235-E298)</f>
        <v>0</v>
      </c>
      <c r="F361" s="4">
        <f t="shared" si="757"/>
        <v>0</v>
      </c>
      <c r="G361" s="4">
        <f t="shared" ref="G361:J361" si="758">IF($A109&gt;G$3,0,G$15-G235-G298)</f>
        <v>0</v>
      </c>
      <c r="H361" s="4">
        <f t="shared" si="758"/>
        <v>0</v>
      </c>
      <c r="I361" s="4">
        <f t="shared" si="758"/>
        <v>0</v>
      </c>
      <c r="J361" s="4">
        <f t="shared" si="758"/>
        <v>0</v>
      </c>
      <c r="K361" s="4">
        <f t="shared" ref="K361:S361" si="759">IF($A109&gt;K$3,0,K$15-K235-K298)</f>
        <v>0</v>
      </c>
      <c r="L361" s="4">
        <f t="shared" si="759"/>
        <v>0</v>
      </c>
      <c r="M361" s="4">
        <f t="shared" si="759"/>
        <v>0</v>
      </c>
      <c r="N361" s="4">
        <f t="shared" si="759"/>
        <v>0</v>
      </c>
      <c r="O361" s="4">
        <f t="shared" si="759"/>
        <v>0</v>
      </c>
      <c r="P361" s="4">
        <f t="shared" si="759"/>
        <v>0</v>
      </c>
      <c r="Q361" s="4">
        <f t="shared" si="759"/>
        <v>0</v>
      </c>
      <c r="R361" s="4">
        <f t="shared" si="759"/>
        <v>0</v>
      </c>
      <c r="S361" s="4">
        <f t="shared" si="759"/>
        <v>0</v>
      </c>
      <c r="T361" s="4">
        <f t="shared" ref="T361:U361" si="760">IF($A109&gt;T$3,0,T$15-T235-T298)</f>
        <v>0</v>
      </c>
      <c r="U361" s="4">
        <f t="shared" si="760"/>
        <v>0</v>
      </c>
    </row>
    <row r="362" spans="1:21" x14ac:dyDescent="0.3">
      <c r="A362">
        <f t="shared" si="547"/>
        <v>55</v>
      </c>
      <c r="B362" s="1">
        <f>VLOOKUP(A362,dates!A:B,2,0)</f>
        <v>46600</v>
      </c>
      <c r="C362" s="4">
        <f t="shared" si="548"/>
        <v>0</v>
      </c>
      <c r="D362" s="4">
        <f t="shared" si="548"/>
        <v>0</v>
      </c>
      <c r="E362" s="4">
        <f t="shared" ref="E362:F362" si="761">IF($A110&gt;E$3,0,E$15-E236-E299)</f>
        <v>0</v>
      </c>
      <c r="F362" s="4">
        <f t="shared" si="761"/>
        <v>0</v>
      </c>
      <c r="G362" s="4">
        <f t="shared" ref="G362:J362" si="762">IF($A110&gt;G$3,0,G$15-G236-G299)</f>
        <v>0</v>
      </c>
      <c r="H362" s="4">
        <f t="shared" si="762"/>
        <v>0</v>
      </c>
      <c r="I362" s="4">
        <f t="shared" si="762"/>
        <v>0</v>
      </c>
      <c r="J362" s="4">
        <f t="shared" si="762"/>
        <v>0</v>
      </c>
      <c r="K362" s="4">
        <f t="shared" ref="K362:S362" si="763">IF($A110&gt;K$3,0,K$15-K236-K299)</f>
        <v>0</v>
      </c>
      <c r="L362" s="4">
        <f t="shared" si="763"/>
        <v>0</v>
      </c>
      <c r="M362" s="4">
        <f t="shared" si="763"/>
        <v>0</v>
      </c>
      <c r="N362" s="4">
        <f t="shared" si="763"/>
        <v>0</v>
      </c>
      <c r="O362" s="4">
        <f t="shared" si="763"/>
        <v>0</v>
      </c>
      <c r="P362" s="4">
        <f t="shared" si="763"/>
        <v>0</v>
      </c>
      <c r="Q362" s="4">
        <f t="shared" si="763"/>
        <v>0</v>
      </c>
      <c r="R362" s="4">
        <f t="shared" si="763"/>
        <v>0</v>
      </c>
      <c r="S362" s="4">
        <f t="shared" si="763"/>
        <v>0</v>
      </c>
      <c r="T362" s="4">
        <f t="shared" ref="T362:U362" si="764">IF($A110&gt;T$3,0,T$15-T236-T299)</f>
        <v>0</v>
      </c>
      <c r="U362" s="4">
        <f t="shared" si="764"/>
        <v>0</v>
      </c>
    </row>
    <row r="363" spans="1:21" x14ac:dyDescent="0.3">
      <c r="A363">
        <f t="shared" si="547"/>
        <v>56</v>
      </c>
      <c r="B363" s="1">
        <f>VLOOKUP(A363,dates!A:B,2,0)</f>
        <v>46631</v>
      </c>
      <c r="C363" s="4">
        <f t="shared" si="548"/>
        <v>0</v>
      </c>
      <c r="D363" s="4">
        <f t="shared" si="548"/>
        <v>0</v>
      </c>
      <c r="E363" s="4">
        <f t="shared" ref="E363:F363" si="765">IF($A111&gt;E$3,0,E$15-E237-E300)</f>
        <v>0</v>
      </c>
      <c r="F363" s="4">
        <f t="shared" si="765"/>
        <v>0</v>
      </c>
      <c r="G363" s="4">
        <f t="shared" ref="G363:J363" si="766">IF($A111&gt;G$3,0,G$15-G237-G300)</f>
        <v>0</v>
      </c>
      <c r="H363" s="4">
        <f t="shared" si="766"/>
        <v>0</v>
      </c>
      <c r="I363" s="4">
        <f t="shared" si="766"/>
        <v>0</v>
      </c>
      <c r="J363" s="4">
        <f t="shared" si="766"/>
        <v>0</v>
      </c>
      <c r="K363" s="4">
        <f t="shared" ref="K363:S363" si="767">IF($A111&gt;K$3,0,K$15-K237-K300)</f>
        <v>0</v>
      </c>
      <c r="L363" s="4">
        <f t="shared" si="767"/>
        <v>0</v>
      </c>
      <c r="M363" s="4">
        <f t="shared" si="767"/>
        <v>0</v>
      </c>
      <c r="N363" s="4">
        <f t="shared" si="767"/>
        <v>0</v>
      </c>
      <c r="O363" s="4">
        <f t="shared" si="767"/>
        <v>0</v>
      </c>
      <c r="P363" s="4">
        <f t="shared" si="767"/>
        <v>0</v>
      </c>
      <c r="Q363" s="4">
        <f t="shared" si="767"/>
        <v>0</v>
      </c>
      <c r="R363" s="4">
        <f t="shared" si="767"/>
        <v>0</v>
      </c>
      <c r="S363" s="4">
        <f t="shared" si="767"/>
        <v>0</v>
      </c>
      <c r="T363" s="4">
        <f t="shared" ref="T363:U363" si="768">IF($A111&gt;T$3,0,T$15-T237-T300)</f>
        <v>0</v>
      </c>
      <c r="U363" s="4">
        <f t="shared" si="768"/>
        <v>0</v>
      </c>
    </row>
    <row r="364" spans="1:21" x14ac:dyDescent="0.3">
      <c r="A364">
        <f t="shared" si="547"/>
        <v>57</v>
      </c>
      <c r="B364" s="1">
        <f>VLOOKUP(A364,dates!A:B,2,0)</f>
        <v>46661</v>
      </c>
      <c r="C364" s="4">
        <f t="shared" si="548"/>
        <v>0</v>
      </c>
      <c r="D364" s="4">
        <f t="shared" si="548"/>
        <v>0</v>
      </c>
      <c r="E364" s="4">
        <f t="shared" ref="E364:F364" si="769">IF($A112&gt;E$3,0,E$15-E238-E301)</f>
        <v>0</v>
      </c>
      <c r="F364" s="4">
        <f t="shared" si="769"/>
        <v>0</v>
      </c>
      <c r="G364" s="4">
        <f t="shared" ref="G364:J364" si="770">IF($A112&gt;G$3,0,G$15-G238-G301)</f>
        <v>0</v>
      </c>
      <c r="H364" s="4">
        <f t="shared" si="770"/>
        <v>0</v>
      </c>
      <c r="I364" s="4">
        <f t="shared" si="770"/>
        <v>0</v>
      </c>
      <c r="J364" s="4">
        <f t="shared" si="770"/>
        <v>0</v>
      </c>
      <c r="K364" s="4">
        <f t="shared" ref="K364:S364" si="771">IF($A112&gt;K$3,0,K$15-K238-K301)</f>
        <v>0</v>
      </c>
      <c r="L364" s="4">
        <f t="shared" si="771"/>
        <v>0</v>
      </c>
      <c r="M364" s="4">
        <f t="shared" si="771"/>
        <v>0</v>
      </c>
      <c r="N364" s="4">
        <f t="shared" si="771"/>
        <v>0</v>
      </c>
      <c r="O364" s="4">
        <f t="shared" si="771"/>
        <v>0</v>
      </c>
      <c r="P364" s="4">
        <f t="shared" si="771"/>
        <v>0</v>
      </c>
      <c r="Q364" s="4">
        <f t="shared" si="771"/>
        <v>0</v>
      </c>
      <c r="R364" s="4">
        <f t="shared" si="771"/>
        <v>0</v>
      </c>
      <c r="S364" s="4">
        <f t="shared" si="771"/>
        <v>0</v>
      </c>
      <c r="T364" s="4">
        <f t="shared" ref="T364:U364" si="772">IF($A112&gt;T$3,0,T$15-T238-T301)</f>
        <v>0</v>
      </c>
      <c r="U364" s="4">
        <f t="shared" si="772"/>
        <v>0</v>
      </c>
    </row>
    <row r="365" spans="1:21" x14ac:dyDescent="0.3">
      <c r="A365">
        <f t="shared" si="547"/>
        <v>58</v>
      </c>
      <c r="B365" s="1">
        <f>VLOOKUP(A365,dates!A:B,2,0)</f>
        <v>46692</v>
      </c>
      <c r="C365" s="4">
        <f t="shared" si="548"/>
        <v>0</v>
      </c>
      <c r="D365" s="4">
        <f t="shared" si="548"/>
        <v>0</v>
      </c>
      <c r="E365" s="4">
        <f t="shared" ref="E365:F365" si="773">IF($A113&gt;E$3,0,E$15-E239-E302)</f>
        <v>0</v>
      </c>
      <c r="F365" s="4">
        <f t="shared" si="773"/>
        <v>0</v>
      </c>
      <c r="G365" s="4">
        <f t="shared" ref="G365:J365" si="774">IF($A113&gt;G$3,0,G$15-G239-G302)</f>
        <v>0</v>
      </c>
      <c r="H365" s="4">
        <f t="shared" si="774"/>
        <v>0</v>
      </c>
      <c r="I365" s="4">
        <f t="shared" si="774"/>
        <v>0</v>
      </c>
      <c r="J365" s="4">
        <f t="shared" si="774"/>
        <v>0</v>
      </c>
      <c r="K365" s="4">
        <f t="shared" ref="K365:S365" si="775">IF($A113&gt;K$3,0,K$15-K239-K302)</f>
        <v>0</v>
      </c>
      <c r="L365" s="4">
        <f t="shared" si="775"/>
        <v>0</v>
      </c>
      <c r="M365" s="4">
        <f t="shared" si="775"/>
        <v>0</v>
      </c>
      <c r="N365" s="4">
        <f t="shared" si="775"/>
        <v>0</v>
      </c>
      <c r="O365" s="4">
        <f t="shared" si="775"/>
        <v>0</v>
      </c>
      <c r="P365" s="4">
        <f t="shared" si="775"/>
        <v>0</v>
      </c>
      <c r="Q365" s="4">
        <f t="shared" si="775"/>
        <v>0</v>
      </c>
      <c r="R365" s="4">
        <f t="shared" si="775"/>
        <v>0</v>
      </c>
      <c r="S365" s="4">
        <f t="shared" si="775"/>
        <v>0</v>
      </c>
      <c r="T365" s="4">
        <f t="shared" ref="T365:U365" si="776">IF($A113&gt;T$3,0,T$15-T239-T302)</f>
        <v>0</v>
      </c>
      <c r="U365" s="4">
        <f t="shared" si="776"/>
        <v>0</v>
      </c>
    </row>
    <row r="366" spans="1:21" x14ac:dyDescent="0.3">
      <c r="A366">
        <f t="shared" si="547"/>
        <v>59</v>
      </c>
      <c r="B366" s="1">
        <f>VLOOKUP(A366,dates!A:B,2,0)</f>
        <v>46722</v>
      </c>
      <c r="C366" s="4">
        <f t="shared" si="548"/>
        <v>0</v>
      </c>
      <c r="D366" s="4">
        <f t="shared" si="548"/>
        <v>0</v>
      </c>
      <c r="E366" s="4">
        <f t="shared" ref="E366:F366" si="777">IF($A114&gt;E$3,0,E$15-E240-E303)</f>
        <v>0</v>
      </c>
      <c r="F366" s="4">
        <f t="shared" si="777"/>
        <v>0</v>
      </c>
      <c r="G366" s="4">
        <f t="shared" ref="G366:J366" si="778">IF($A114&gt;G$3,0,G$15-G240-G303)</f>
        <v>0</v>
      </c>
      <c r="H366" s="4">
        <f t="shared" si="778"/>
        <v>0</v>
      </c>
      <c r="I366" s="4">
        <f t="shared" si="778"/>
        <v>0</v>
      </c>
      <c r="J366" s="4">
        <f t="shared" si="778"/>
        <v>0</v>
      </c>
      <c r="K366" s="4">
        <f t="shared" ref="K366:S366" si="779">IF($A114&gt;K$3,0,K$15-K240-K303)</f>
        <v>0</v>
      </c>
      <c r="L366" s="4">
        <f t="shared" si="779"/>
        <v>0</v>
      </c>
      <c r="M366" s="4">
        <f t="shared" si="779"/>
        <v>0</v>
      </c>
      <c r="N366" s="4">
        <f t="shared" si="779"/>
        <v>0</v>
      </c>
      <c r="O366" s="4">
        <f t="shared" si="779"/>
        <v>0</v>
      </c>
      <c r="P366" s="4">
        <f t="shared" si="779"/>
        <v>0</v>
      </c>
      <c r="Q366" s="4">
        <f t="shared" si="779"/>
        <v>0</v>
      </c>
      <c r="R366" s="4">
        <f t="shared" si="779"/>
        <v>0</v>
      </c>
      <c r="S366" s="4">
        <f t="shared" si="779"/>
        <v>0</v>
      </c>
      <c r="T366" s="4">
        <f t="shared" ref="T366:U366" si="780">IF($A114&gt;T$3,0,T$15-T240-T303)</f>
        <v>0</v>
      </c>
      <c r="U366" s="4">
        <f t="shared" si="780"/>
        <v>0</v>
      </c>
    </row>
    <row r="367" spans="1:21" x14ac:dyDescent="0.3">
      <c r="A367">
        <f t="shared" si="547"/>
        <v>60</v>
      </c>
      <c r="B367" s="1">
        <f>VLOOKUP(A367,dates!A:B,2,0)</f>
        <v>46753</v>
      </c>
      <c r="C367" s="4">
        <f t="shared" si="548"/>
        <v>0</v>
      </c>
      <c r="D367" s="4">
        <f t="shared" si="548"/>
        <v>0</v>
      </c>
      <c r="E367" s="4">
        <f t="shared" ref="E367:F367" si="781">IF($A115&gt;E$3,0,E$15-E241-E304)</f>
        <v>0</v>
      </c>
      <c r="F367" s="4">
        <f t="shared" si="781"/>
        <v>0</v>
      </c>
      <c r="G367" s="4">
        <f t="shared" ref="G367:J367" si="782">IF($A115&gt;G$3,0,G$15-G241-G304)</f>
        <v>0</v>
      </c>
      <c r="H367" s="4">
        <f t="shared" si="782"/>
        <v>0</v>
      </c>
      <c r="I367" s="4">
        <f t="shared" si="782"/>
        <v>0</v>
      </c>
      <c r="J367" s="4">
        <f t="shared" si="782"/>
        <v>0</v>
      </c>
      <c r="K367" s="4">
        <f t="shared" ref="K367:S367" si="783">IF($A115&gt;K$3,0,K$15-K241-K304)</f>
        <v>0</v>
      </c>
      <c r="L367" s="4">
        <f t="shared" si="783"/>
        <v>0</v>
      </c>
      <c r="M367" s="4">
        <f t="shared" si="783"/>
        <v>0</v>
      </c>
      <c r="N367" s="4">
        <f t="shared" si="783"/>
        <v>0</v>
      </c>
      <c r="O367" s="4">
        <f t="shared" si="783"/>
        <v>0</v>
      </c>
      <c r="P367" s="4">
        <f t="shared" si="783"/>
        <v>0</v>
      </c>
      <c r="Q367" s="4">
        <f t="shared" si="783"/>
        <v>0</v>
      </c>
      <c r="R367" s="4">
        <f t="shared" si="783"/>
        <v>0</v>
      </c>
      <c r="S367" s="4">
        <f t="shared" si="783"/>
        <v>0</v>
      </c>
      <c r="T367" s="4">
        <f t="shared" ref="T367:U367" si="784">IF($A115&gt;T$3,0,T$15-T241-T304)</f>
        <v>0</v>
      </c>
      <c r="U367" s="4">
        <f t="shared" si="784"/>
        <v>0</v>
      </c>
    </row>
    <row r="369" spans="1:21" x14ac:dyDescent="0.3">
      <c r="A369" t="s">
        <v>14</v>
      </c>
      <c r="B369" t="s">
        <v>13</v>
      </c>
      <c r="C369" s="3" t="s">
        <v>11</v>
      </c>
      <c r="D369" s="3" t="s">
        <v>11</v>
      </c>
      <c r="E369" s="3" t="s">
        <v>11</v>
      </c>
      <c r="F369" s="3" t="s">
        <v>11</v>
      </c>
      <c r="G369" s="3" t="s">
        <v>11</v>
      </c>
      <c r="H369" s="3" t="s">
        <v>11</v>
      </c>
      <c r="I369" s="3" t="s">
        <v>11</v>
      </c>
      <c r="J369" s="3" t="s">
        <v>11</v>
      </c>
      <c r="K369" s="3" t="s">
        <v>11</v>
      </c>
      <c r="L369" s="3" t="s">
        <v>11</v>
      </c>
      <c r="M369" s="3" t="s">
        <v>11</v>
      </c>
      <c r="N369" s="3" t="s">
        <v>11</v>
      </c>
      <c r="O369" s="3" t="s">
        <v>11</v>
      </c>
      <c r="P369" s="3" t="s">
        <v>11</v>
      </c>
      <c r="Q369" s="3" t="s">
        <v>11</v>
      </c>
      <c r="R369" s="3" t="s">
        <v>11</v>
      </c>
      <c r="S369" s="3" t="s">
        <v>11</v>
      </c>
      <c r="T369" s="3" t="s">
        <v>11</v>
      </c>
      <c r="U369" s="3" t="s">
        <v>11</v>
      </c>
    </row>
    <row r="370" spans="1:21" x14ac:dyDescent="0.3">
      <c r="A370">
        <v>0</v>
      </c>
      <c r="B370" s="1">
        <f>VLOOKUP(A370,dates!A:B,2,0)</f>
        <v>44927</v>
      </c>
      <c r="C370" s="2">
        <f t="shared" ref="C370:J370" si="785">-C55+C18</f>
        <v>-9835.2307720661902</v>
      </c>
      <c r="D370" s="2">
        <f t="shared" si="785"/>
        <v>-9695.7186677796926</v>
      </c>
      <c r="E370" s="2">
        <f t="shared" si="785"/>
        <v>-9561.2688686534384</v>
      </c>
      <c r="F370" s="2">
        <f t="shared" si="785"/>
        <v>-9517.9341406748481</v>
      </c>
      <c r="G370" s="2">
        <f t="shared" si="785"/>
        <v>-9432.2628249877744</v>
      </c>
      <c r="H370" s="2">
        <f t="shared" si="785"/>
        <v>-9307.6821018957562</v>
      </c>
      <c r="I370" s="2">
        <f t="shared" si="785"/>
        <v>-9188.2517360532875</v>
      </c>
      <c r="J370" s="2">
        <f t="shared" si="785"/>
        <v>-8961.9067716672635</v>
      </c>
      <c r="K370" s="2">
        <f t="shared" ref="K370:S370" si="786">-K55+K18</f>
        <v>-8557.464269628621</v>
      </c>
      <c r="L370" s="2">
        <f t="shared" si="786"/>
        <v>-9835.2307720661902</v>
      </c>
      <c r="M370" s="2">
        <f t="shared" si="786"/>
        <v>-9835.2307720661902</v>
      </c>
      <c r="N370" s="2">
        <f t="shared" si="786"/>
        <v>-9835.2307720661902</v>
      </c>
      <c r="O370" s="2">
        <f t="shared" si="786"/>
        <v>-9835.2307720661902</v>
      </c>
      <c r="P370" s="2">
        <f t="shared" si="786"/>
        <v>-9835.2307720661902</v>
      </c>
      <c r="Q370" s="2">
        <f t="shared" si="786"/>
        <v>-9835.2307720661902</v>
      </c>
      <c r="R370" s="2">
        <f t="shared" si="786"/>
        <v>-9835.2307720661902</v>
      </c>
      <c r="S370" s="2">
        <f t="shared" si="786"/>
        <v>-9835.2307720661902</v>
      </c>
      <c r="T370" s="2">
        <f t="shared" ref="T370:U370" si="787">-T55+T18</f>
        <v>-9835.2307720661902</v>
      </c>
      <c r="U370" s="2">
        <f t="shared" si="787"/>
        <v>-10000</v>
      </c>
    </row>
    <row r="371" spans="1:21" x14ac:dyDescent="0.3">
      <c r="A371">
        <v>1</v>
      </c>
      <c r="B371" s="1">
        <f>VLOOKUP(A371,dates!A:B,2,0)</f>
        <v>44958</v>
      </c>
      <c r="C371" s="2">
        <f>IF(C$4-$A56&gt;=0,0,IF($A56&gt;C$3+C$4,0,C$15-C183-C246))</f>
        <v>3400.5442443970696</v>
      </c>
      <c r="D371" s="2">
        <f t="shared" ref="D371:E371" si="788">IF(D$4-$A56&gt;=0,0,IF($A56&gt;D$3+D$4,0,D$15-D183-D246))</f>
        <v>1718.4560981688821</v>
      </c>
      <c r="E371" s="2">
        <f t="shared" si="788"/>
        <v>1158.0405650011132</v>
      </c>
      <c r="F371" s="2">
        <f t="shared" ref="F371:J371" si="789">IF(F$4-$A56&gt;=0,0,IF($A56&gt;F$3+F$4,0,F$15-F183-F246))</f>
        <v>1046.0135309211039</v>
      </c>
      <c r="G371" s="2">
        <f t="shared" si="789"/>
        <v>878.04302725361913</v>
      </c>
      <c r="H371" s="2">
        <f t="shared" si="789"/>
        <v>710.21251107744285</v>
      </c>
      <c r="I371" s="2">
        <f t="shared" si="789"/>
        <v>598.46531674627533</v>
      </c>
      <c r="J371" s="2">
        <f t="shared" si="789"/>
        <v>459.09518830844559</v>
      </c>
      <c r="K371" s="2">
        <f t="shared" ref="K371" si="790">IF(K$4-$A56&gt;=0,0,IF($A56&gt;K$3+K$4,0,K$15-K183-K246))</f>
        <v>320.55751142912533</v>
      </c>
      <c r="L371" s="2">
        <f>IF(L$4-$A56&gt;=0,0,IF($A56&gt;L$3+L$4,0,L$15-L183-L246))</f>
        <v>3400.5442443970696</v>
      </c>
      <c r="M371" s="2">
        <f t="shared" ref="M371:T371" si="791">IF(M$4-$A56&gt;=0,0,IF($A56&gt;M$3+M$4,0,M$15-M183-M246))</f>
        <v>1743.2699133521037</v>
      </c>
      <c r="N371" s="2">
        <f t="shared" si="791"/>
        <v>1191.2881380763231</v>
      </c>
      <c r="O371" s="2">
        <f t="shared" si="791"/>
        <v>1080.9915033370639</v>
      </c>
      <c r="P371" s="2">
        <f t="shared" si="791"/>
        <v>915.67914182003835</v>
      </c>
      <c r="Q371" s="2">
        <f t="shared" si="791"/>
        <v>750.5482977861941</v>
      </c>
      <c r="R371" s="2">
        <f t="shared" si="791"/>
        <v>640.73680538218298</v>
      </c>
      <c r="S371" s="2">
        <f t="shared" si="791"/>
        <v>503.92816251832272</v>
      </c>
      <c r="T371" s="2">
        <f t="shared" si="791"/>
        <v>368.50393676977734</v>
      </c>
      <c r="U371" s="2">
        <f t="shared" ref="U371" si="792">IF(U$4-$A56&gt;=0,0,IF($A56&gt;U$3+U$4,0,U$15-U183-U246))</f>
        <v>785.96859149400723</v>
      </c>
    </row>
    <row r="372" spans="1:21" x14ac:dyDescent="0.3">
      <c r="A372">
        <f t="shared" ref="A372:A430" si="793">A371+1</f>
        <v>2</v>
      </c>
      <c r="B372" s="1">
        <f>VLOOKUP(A372,dates!A:B,2,0)</f>
        <v>44986</v>
      </c>
      <c r="C372" s="2">
        <f t="shared" ref="C372:E372" si="794">IF(C$4-$A57&gt;=0,0,IF($A57&gt;C$3+C$4,0,C$15-C184-C247))</f>
        <v>3410.7458771302609</v>
      </c>
      <c r="D372" s="2">
        <f t="shared" si="794"/>
        <v>1723.611466463389</v>
      </c>
      <c r="E372" s="2">
        <f t="shared" si="794"/>
        <v>1161.5146866961165</v>
      </c>
      <c r="F372" s="2">
        <f t="shared" ref="F372:J372" si="795">IF(F$4-$A57&gt;=0,0,IF($A57&gt;F$3+F$4,0,F$15-F184-F247))</f>
        <v>1049.1515715138673</v>
      </c>
      <c r="G372" s="2">
        <f t="shared" si="795"/>
        <v>880.67715633538</v>
      </c>
      <c r="H372" s="2">
        <f t="shared" si="795"/>
        <v>712.34314861067526</v>
      </c>
      <c r="I372" s="2">
        <f t="shared" si="795"/>
        <v>600.26071269651413</v>
      </c>
      <c r="J372" s="2">
        <f t="shared" si="795"/>
        <v>460.47247387337097</v>
      </c>
      <c r="K372" s="2">
        <f t="shared" ref="K372:S372" si="796">IF(K$4-$A57&gt;=0,0,IF($A57&gt;K$3+K$4,0,K$15-K184-K247))</f>
        <v>321.51918396341267</v>
      </c>
      <c r="L372" s="2">
        <f t="shared" si="796"/>
        <v>3410.7458771302609</v>
      </c>
      <c r="M372" s="2">
        <f t="shared" si="796"/>
        <v>1748.4997230921599</v>
      </c>
      <c r="N372" s="2">
        <f t="shared" si="796"/>
        <v>1194.862002490552</v>
      </c>
      <c r="O372" s="2">
        <f t="shared" si="796"/>
        <v>1084.2344778470751</v>
      </c>
      <c r="P372" s="2">
        <f t="shared" si="796"/>
        <v>918.42617924549847</v>
      </c>
      <c r="Q372" s="2">
        <f t="shared" si="796"/>
        <v>752.79994267955271</v>
      </c>
      <c r="R372" s="2">
        <f t="shared" si="796"/>
        <v>642.65901579832951</v>
      </c>
      <c r="S372" s="2">
        <f t="shared" si="796"/>
        <v>505.43994700587774</v>
      </c>
      <c r="T372" s="2">
        <f t="shared" ref="T372:U372" si="797">IF(T$4-$A57&gt;=0,0,IF($A57&gt;T$3+T$4,0,T$15-T184-T247))</f>
        <v>369.60944858008673</v>
      </c>
      <c r="U372" s="2">
        <f t="shared" si="797"/>
        <v>788.32649726848911</v>
      </c>
    </row>
    <row r="373" spans="1:21" x14ac:dyDescent="0.3">
      <c r="A373">
        <f t="shared" si="793"/>
        <v>3</v>
      </c>
      <c r="B373" s="1">
        <f>VLOOKUP(A373,dates!A:B,2,0)</f>
        <v>45017</v>
      </c>
      <c r="C373" s="2">
        <f t="shared" ref="C373:E373" si="798">IF(C$4-$A58&gt;=0,0,IF($A58&gt;C$3+C$4,0,C$15-C185-C248))</f>
        <v>3420.3731250220035</v>
      </c>
      <c r="D373" s="2">
        <f t="shared" si="798"/>
        <v>1728.782300862779</v>
      </c>
      <c r="E373" s="2">
        <f t="shared" si="798"/>
        <v>1164.999230756205</v>
      </c>
      <c r="F373" s="2">
        <f t="shared" ref="F373:J373" si="799">IF(F$4-$A58&gt;=0,0,IF($A58&gt;F$3+F$4,0,F$15-F185-F248))</f>
        <v>1052.299026228409</v>
      </c>
      <c r="G373" s="2">
        <f t="shared" si="799"/>
        <v>883.31918780438627</v>
      </c>
      <c r="H373" s="2">
        <f t="shared" si="799"/>
        <v>714.48017805650727</v>
      </c>
      <c r="I373" s="2">
        <f t="shared" si="799"/>
        <v>602.06149483460365</v>
      </c>
      <c r="J373" s="2">
        <f t="shared" si="799"/>
        <v>461.85389129499106</v>
      </c>
      <c r="K373" s="2">
        <f t="shared" ref="K373:S373" si="800">IF(K$4-$A58&gt;=0,0,IF($A58&gt;K$3+K$4,0,K$15-K185-K248))</f>
        <v>322.48374151530294</v>
      </c>
      <c r="L373" s="2">
        <f t="shared" si="800"/>
        <v>3420.3731250220035</v>
      </c>
      <c r="M373" s="2">
        <f t="shared" si="800"/>
        <v>1753.7452222614365</v>
      </c>
      <c r="N373" s="2">
        <f t="shared" si="800"/>
        <v>1198.4465884980239</v>
      </c>
      <c r="O373" s="2">
        <f t="shared" si="800"/>
        <v>1087.4871812806164</v>
      </c>
      <c r="P373" s="2">
        <f t="shared" si="800"/>
        <v>921.18145778323503</v>
      </c>
      <c r="Q373" s="2">
        <f t="shared" si="800"/>
        <v>755.05834250759131</v>
      </c>
      <c r="R373" s="2">
        <f t="shared" si="800"/>
        <v>644.58699284572447</v>
      </c>
      <c r="S373" s="2">
        <f t="shared" si="800"/>
        <v>506.95626684689535</v>
      </c>
      <c r="T373" s="2">
        <f t="shared" ref="T373:U373" si="801">IF(T$4-$A58&gt;=0,0,IF($A58&gt;T$3+T$4,0,T$15-T185-T248))</f>
        <v>370.71827692582696</v>
      </c>
      <c r="U373" s="2">
        <f t="shared" si="801"/>
        <v>790.69147676029468</v>
      </c>
    </row>
    <row r="374" spans="1:21" x14ac:dyDescent="0.3">
      <c r="A374">
        <f t="shared" si="793"/>
        <v>4</v>
      </c>
      <c r="B374" s="1">
        <f>VLOOKUP(A374,dates!A:B,2,0)</f>
        <v>45047</v>
      </c>
      <c r="C374" s="2">
        <f t="shared" ref="C374:E374" si="802">IF(C$4-$A59&gt;=0,0,IF($A59&gt;C$3+C$4,0,C$15-C186-C249))</f>
        <v>0</v>
      </c>
      <c r="D374" s="2">
        <f t="shared" si="802"/>
        <v>1733.9686477653675</v>
      </c>
      <c r="E374" s="2">
        <f t="shared" si="802"/>
        <v>1168.4942284484735</v>
      </c>
      <c r="F374" s="2">
        <f t="shared" ref="F374:J374" si="803">IF(F$4-$A59&gt;=0,0,IF($A59&gt;F$3+F$4,0,F$15-F186-F249))</f>
        <v>1055.4559233070943</v>
      </c>
      <c r="G374" s="2">
        <f t="shared" si="803"/>
        <v>885.96914536779946</v>
      </c>
      <c r="H374" s="2">
        <f t="shared" si="803"/>
        <v>716.62361859067676</v>
      </c>
      <c r="I374" s="2">
        <f t="shared" si="803"/>
        <v>603.86767931910742</v>
      </c>
      <c r="J374" s="2">
        <f t="shared" si="803"/>
        <v>463.23945296887598</v>
      </c>
      <c r="K374" s="2">
        <f t="shared" ref="K374:S374" si="804">IF(K$4-$A59&gt;=0,0,IF($A59&gt;K$3+K$4,0,K$15-K186-K249))</f>
        <v>323.45119273984875</v>
      </c>
      <c r="L374" s="2">
        <f t="shared" si="804"/>
        <v>0</v>
      </c>
      <c r="M374" s="2">
        <f t="shared" si="804"/>
        <v>1759.0064579282207</v>
      </c>
      <c r="N374" s="2">
        <f t="shared" si="804"/>
        <v>1202.0419282635178</v>
      </c>
      <c r="O374" s="2">
        <f t="shared" si="804"/>
        <v>1090.7496428244581</v>
      </c>
      <c r="P374" s="2">
        <f t="shared" si="804"/>
        <v>923.94500215658456</v>
      </c>
      <c r="Q374" s="2">
        <f t="shared" si="804"/>
        <v>757.32351753511421</v>
      </c>
      <c r="R374" s="2">
        <f t="shared" si="804"/>
        <v>646.52075382426176</v>
      </c>
      <c r="S374" s="2">
        <f t="shared" si="804"/>
        <v>508.47713564743606</v>
      </c>
      <c r="T374" s="2">
        <f t="shared" ref="T374:U374" si="805">IF(T$4-$A59&gt;=0,0,IF($A59&gt;T$3+T$4,0,T$15-T186-T249))</f>
        <v>371.83043175660447</v>
      </c>
      <c r="U374" s="2">
        <f t="shared" si="805"/>
        <v>793.06355119057559</v>
      </c>
    </row>
    <row r="375" spans="1:21" x14ac:dyDescent="0.3">
      <c r="A375">
        <f t="shared" si="793"/>
        <v>5</v>
      </c>
      <c r="B375" s="1">
        <f>VLOOKUP(A375,dates!A:B,2,0)</f>
        <v>45078</v>
      </c>
      <c r="C375" s="2">
        <f t="shared" ref="C375:E375" si="806">IF(C$4-$A60&gt;=0,0,IF($A60&gt;C$3+C$4,0,C$15-C187-C250))</f>
        <v>0</v>
      </c>
      <c r="D375" s="2">
        <f t="shared" si="806"/>
        <v>1739.1705537086634</v>
      </c>
      <c r="E375" s="2">
        <f t="shared" si="806"/>
        <v>1171.9997111338187</v>
      </c>
      <c r="F375" s="2">
        <f t="shared" ref="F375:J375" si="807">IF(F$4-$A60&gt;=0,0,IF($A60&gt;F$3+F$4,0,F$15-F187-F250))</f>
        <v>1058.6222910770155</v>
      </c>
      <c r="G375" s="2">
        <f t="shared" si="807"/>
        <v>888.62705280390287</v>
      </c>
      <c r="H375" s="2">
        <f t="shared" si="807"/>
        <v>718.77348944644893</v>
      </c>
      <c r="I375" s="2">
        <f t="shared" si="807"/>
        <v>605.67928235706484</v>
      </c>
      <c r="J375" s="2">
        <f t="shared" si="807"/>
        <v>464.62917132778261</v>
      </c>
      <c r="K375" s="2">
        <f t="shared" ref="K375:S375" si="808">IF(K$4-$A60&gt;=0,0,IF($A60&gt;K$3+K$4,0,K$15-K187-K250))</f>
        <v>324.42154631806835</v>
      </c>
      <c r="L375" s="2">
        <f t="shared" si="808"/>
        <v>0</v>
      </c>
      <c r="M375" s="2">
        <f t="shared" si="808"/>
        <v>1764.2834773020054</v>
      </c>
      <c r="N375" s="2">
        <f t="shared" si="808"/>
        <v>1205.6480540483083</v>
      </c>
      <c r="O375" s="2">
        <f t="shared" si="808"/>
        <v>1094.0218917529314</v>
      </c>
      <c r="P375" s="2">
        <f t="shared" si="808"/>
        <v>926.71683716305449</v>
      </c>
      <c r="Q375" s="2">
        <f t="shared" si="808"/>
        <v>759.59548808771956</v>
      </c>
      <c r="R375" s="2">
        <f t="shared" si="808"/>
        <v>648.46031608573446</v>
      </c>
      <c r="S375" s="2">
        <f t="shared" si="808"/>
        <v>510.00256705437835</v>
      </c>
      <c r="T375" s="2">
        <f t="shared" ref="T375:U375" si="809">IF(T$4-$A60&gt;=0,0,IF($A60&gt;T$3+T$4,0,T$15-T187-T250))</f>
        <v>372.94592305187422</v>
      </c>
      <c r="U375" s="2">
        <f t="shared" si="809"/>
        <v>795.44274184414724</v>
      </c>
    </row>
    <row r="376" spans="1:21" x14ac:dyDescent="0.3">
      <c r="A376">
        <f t="shared" si="793"/>
        <v>6</v>
      </c>
      <c r="B376" s="1">
        <f>VLOOKUP(A376,dates!A:B,2,0)</f>
        <v>45108</v>
      </c>
      <c r="C376" s="2">
        <f t="shared" ref="C376:E376" si="810">IF(C$4-$A61&gt;=0,0,IF($A61&gt;C$3+C$4,0,C$15-C188-C251))</f>
        <v>0</v>
      </c>
      <c r="D376" s="2">
        <f t="shared" si="810"/>
        <v>1743.3161497197232</v>
      </c>
      <c r="E376" s="2">
        <f t="shared" si="810"/>
        <v>1175.5157102672204</v>
      </c>
      <c r="F376" s="2">
        <f t="shared" ref="F376:J376" si="811">IF(F$4-$A61&gt;=0,0,IF($A61&gt;F$3+F$4,0,F$15-F188-F251))</f>
        <v>1061.7981579502464</v>
      </c>
      <c r="G376" s="2">
        <f t="shared" si="811"/>
        <v>891.29293396231446</v>
      </c>
      <c r="H376" s="2">
        <f t="shared" si="811"/>
        <v>720.92980991478828</v>
      </c>
      <c r="I376" s="2">
        <f t="shared" si="811"/>
        <v>607.49632020413594</v>
      </c>
      <c r="J376" s="2">
        <f t="shared" si="811"/>
        <v>466.02305884176599</v>
      </c>
      <c r="K376" s="2">
        <f t="shared" ref="K376:S376" si="812">IF(K$4-$A61&gt;=0,0,IF($A61&gt;K$3+K$4,0,K$15-K188-K251))</f>
        <v>325.39481095702257</v>
      </c>
      <c r="L376" s="2">
        <f t="shared" si="812"/>
        <v>0</v>
      </c>
      <c r="M376" s="2">
        <f t="shared" si="812"/>
        <v>1768.0557461137623</v>
      </c>
      <c r="N376" s="2">
        <f t="shared" si="812"/>
        <v>1209.2649982104533</v>
      </c>
      <c r="O376" s="2">
        <f t="shared" si="812"/>
        <v>1097.3039574281902</v>
      </c>
      <c r="P376" s="2">
        <f t="shared" si="812"/>
        <v>929.49698767454367</v>
      </c>
      <c r="Q376" s="2">
        <f t="shared" si="812"/>
        <v>761.87427455198258</v>
      </c>
      <c r="R376" s="2">
        <f t="shared" si="812"/>
        <v>650.40569703399171</v>
      </c>
      <c r="S376" s="2">
        <f t="shared" si="812"/>
        <v>511.53257475554148</v>
      </c>
      <c r="T376" s="2">
        <f t="shared" ref="T376:U376" si="813">IF(T$4-$A61&gt;=0,0,IF($A61&gt;T$3+T$4,0,T$15-T188-T251))</f>
        <v>374.06476082102989</v>
      </c>
      <c r="U376" s="2">
        <f t="shared" si="813"/>
        <v>797.82907006967969</v>
      </c>
    </row>
    <row r="377" spans="1:21" x14ac:dyDescent="0.3">
      <c r="A377">
        <f t="shared" si="793"/>
        <v>7</v>
      </c>
      <c r="B377" s="1">
        <f>VLOOKUP(A377,dates!A:B,2,0)</f>
        <v>45139</v>
      </c>
      <c r="C377" s="2">
        <f t="shared" ref="C377:E377" si="814">IF(C$4-$A62&gt;=0,0,IF($A62&gt;C$3+C$4,0,C$15-C189-C252))</f>
        <v>0</v>
      </c>
      <c r="D377" s="2">
        <f t="shared" si="814"/>
        <v>0</v>
      </c>
      <c r="E377" s="2">
        <f t="shared" si="814"/>
        <v>1179.042257398022</v>
      </c>
      <c r="F377" s="2">
        <f t="shared" ref="F377:J377" si="815">IF(F$4-$A62&gt;=0,0,IF($A62&gt;F$3+F$4,0,F$15-F189-F252))</f>
        <v>1064.9835524240973</v>
      </c>
      <c r="G377" s="2">
        <f t="shared" si="815"/>
        <v>893.96681276420145</v>
      </c>
      <c r="H377" s="2">
        <f t="shared" si="815"/>
        <v>723.09259934453246</v>
      </c>
      <c r="I377" s="2">
        <f t="shared" si="815"/>
        <v>609.31880916474836</v>
      </c>
      <c r="J377" s="2">
        <f t="shared" si="815"/>
        <v>467.42112801829126</v>
      </c>
      <c r="K377" s="2">
        <f t="shared" ref="K377:S377" si="816">IF(K$4-$A62&gt;=0,0,IF($A62&gt;K$3+K$4,0,K$15-K189-K252))</f>
        <v>326.37099538989361</v>
      </c>
      <c r="L377" s="2">
        <f t="shared" si="816"/>
        <v>0</v>
      </c>
      <c r="M377" s="2">
        <f t="shared" si="816"/>
        <v>0</v>
      </c>
      <c r="N377" s="2">
        <f t="shared" si="816"/>
        <v>1212.8927932050844</v>
      </c>
      <c r="O377" s="2">
        <f t="shared" si="816"/>
        <v>1100.595869300475</v>
      </c>
      <c r="P377" s="2">
        <f t="shared" si="816"/>
        <v>932.28547863756728</v>
      </c>
      <c r="Q377" s="2">
        <f t="shared" si="816"/>
        <v>764.15989737563859</v>
      </c>
      <c r="R377" s="2">
        <f t="shared" si="816"/>
        <v>652.35691412509357</v>
      </c>
      <c r="S377" s="2">
        <f t="shared" si="816"/>
        <v>513.06717247980816</v>
      </c>
      <c r="T377" s="2">
        <f t="shared" ref="T377:U377" si="817">IF(T$4-$A62&gt;=0,0,IF($A62&gt;T$3+T$4,0,T$15-T189-T252))</f>
        <v>375.18695510349295</v>
      </c>
      <c r="U377" s="2">
        <f t="shared" si="817"/>
        <v>800.22255727988875</v>
      </c>
    </row>
    <row r="378" spans="1:21" x14ac:dyDescent="0.3">
      <c r="A378">
        <f t="shared" si="793"/>
        <v>8</v>
      </c>
      <c r="B378" s="1">
        <f>VLOOKUP(A378,dates!A:B,2,0)</f>
        <v>45170</v>
      </c>
      <c r="C378" s="2">
        <f t="shared" ref="C378:E378" si="818">IF(C$4-$A63&gt;=0,0,IF($A63&gt;C$3+C$4,0,C$15-C190-C253))</f>
        <v>0</v>
      </c>
      <c r="D378" s="2">
        <f t="shared" si="818"/>
        <v>0</v>
      </c>
      <c r="E378" s="2">
        <f t="shared" si="818"/>
        <v>1182.5793841702159</v>
      </c>
      <c r="F378" s="2">
        <f t="shared" ref="F378:J378" si="819">IF(F$4-$A63&gt;=0,0,IF($A63&gt;F$3+F$4,0,F$15-F190-F253))</f>
        <v>1068.1785030813696</v>
      </c>
      <c r="G378" s="2">
        <f t="shared" si="819"/>
        <v>896.64871320249404</v>
      </c>
      <c r="H378" s="2">
        <f t="shared" si="819"/>
        <v>725.26187714256628</v>
      </c>
      <c r="I378" s="2">
        <f t="shared" si="819"/>
        <v>611.14676559224256</v>
      </c>
      <c r="J378" s="2">
        <f t="shared" si="819"/>
        <v>468.82339140234615</v>
      </c>
      <c r="K378" s="2">
        <f t="shared" ref="K378:S378" si="820">IF(K$4-$A63&gt;=0,0,IF($A63&gt;K$3+K$4,0,K$15-K190-K253))</f>
        <v>327.35010837606336</v>
      </c>
      <c r="L378" s="2">
        <f t="shared" si="820"/>
        <v>0</v>
      </c>
      <c r="M378" s="2">
        <f t="shared" si="820"/>
        <v>0</v>
      </c>
      <c r="N378" s="2">
        <f t="shared" si="820"/>
        <v>1216.5314715847001</v>
      </c>
      <c r="O378" s="2">
        <f t="shared" si="820"/>
        <v>1103.8976569083761</v>
      </c>
      <c r="P378" s="2">
        <f t="shared" si="820"/>
        <v>935.08233507347984</v>
      </c>
      <c r="Q378" s="2">
        <f t="shared" si="820"/>
        <v>766.45237706776561</v>
      </c>
      <c r="R378" s="2">
        <f t="shared" si="820"/>
        <v>654.313984867469</v>
      </c>
      <c r="S378" s="2">
        <f t="shared" si="820"/>
        <v>514.60637399724749</v>
      </c>
      <c r="T378" s="2">
        <f t="shared" ref="T378:U378" si="821">IF(T$4-$A63&gt;=0,0,IF($A63&gt;T$3+T$4,0,T$15-T190-T253))</f>
        <v>376.31251596880344</v>
      </c>
      <c r="U378" s="2">
        <f t="shared" si="821"/>
        <v>802.6232249517285</v>
      </c>
    </row>
    <row r="379" spans="1:21" x14ac:dyDescent="0.3">
      <c r="A379">
        <f t="shared" si="793"/>
        <v>9</v>
      </c>
      <c r="B379" s="1">
        <f>VLOOKUP(A379,dates!A:B,2,0)</f>
        <v>45200</v>
      </c>
      <c r="C379" s="2">
        <f t="shared" ref="C379:E379" si="822">IF(C$4-$A64&gt;=0,0,IF($A64&gt;C$3+C$4,0,C$15-C191-C254))</f>
        <v>0</v>
      </c>
      <c r="D379" s="2">
        <f t="shared" si="822"/>
        <v>0</v>
      </c>
      <c r="E379" s="2">
        <f t="shared" si="822"/>
        <v>1184.5768344976202</v>
      </c>
      <c r="F379" s="2">
        <f t="shared" ref="F379:J379" si="823">IF(F$4-$A64&gt;=0,0,IF($A64&gt;F$3+F$4,0,F$15-F191-F254))</f>
        <v>1071.3830385906138</v>
      </c>
      <c r="G379" s="2">
        <f t="shared" si="823"/>
        <v>899.33865934210144</v>
      </c>
      <c r="H379" s="2">
        <f t="shared" si="823"/>
        <v>727.43766277399379</v>
      </c>
      <c r="I379" s="2">
        <f t="shared" si="823"/>
        <v>612.9802058890192</v>
      </c>
      <c r="J379" s="2">
        <f t="shared" si="823"/>
        <v>470.22986157655316</v>
      </c>
      <c r="K379" s="2">
        <f t="shared" ref="K379:S379" si="824">IF(K$4-$A64&gt;=0,0,IF($A64&gt;K$3+K$4,0,K$15-K191-K254))</f>
        <v>328.33215870119153</v>
      </c>
      <c r="L379" s="2">
        <f t="shared" si="824"/>
        <v>0</v>
      </c>
      <c r="M379" s="2">
        <f t="shared" si="824"/>
        <v>0</v>
      </c>
      <c r="N379" s="2">
        <f t="shared" si="824"/>
        <v>1217.7249631867628</v>
      </c>
      <c r="O379" s="2">
        <f t="shared" si="824"/>
        <v>1107.2093498791014</v>
      </c>
      <c r="P379" s="2">
        <f t="shared" si="824"/>
        <v>937.88758207870035</v>
      </c>
      <c r="Q379" s="2">
        <f t="shared" si="824"/>
        <v>768.75173419896873</v>
      </c>
      <c r="R379" s="2">
        <f t="shared" si="824"/>
        <v>656.27692682207123</v>
      </c>
      <c r="S379" s="2">
        <f t="shared" si="824"/>
        <v>516.15019311923936</v>
      </c>
      <c r="T379" s="2">
        <f t="shared" ref="T379:U379" si="825">IF(T$4-$A64&gt;=0,0,IF($A64&gt;T$3+T$4,0,T$15-T191-T254))</f>
        <v>377.44145351670983</v>
      </c>
      <c r="U379" s="2">
        <f t="shared" si="825"/>
        <v>805.03109462658369</v>
      </c>
    </row>
    <row r="380" spans="1:21" x14ac:dyDescent="0.3">
      <c r="A380">
        <f t="shared" si="793"/>
        <v>10</v>
      </c>
      <c r="B380" s="1">
        <f>VLOOKUP(A380,dates!A:B,2,0)</f>
        <v>45231</v>
      </c>
      <c r="C380" s="2">
        <f t="shared" ref="C380:E380" si="826">IF(C$4-$A65&gt;=0,0,IF($A65&gt;C$3+C$4,0,C$15-C192-C255))</f>
        <v>0</v>
      </c>
      <c r="D380" s="2">
        <f t="shared" si="826"/>
        <v>0</v>
      </c>
      <c r="E380" s="2">
        <f t="shared" si="826"/>
        <v>0</v>
      </c>
      <c r="F380" s="2">
        <f t="shared" ref="F380:J380" si="827">IF(F$4-$A65&gt;=0,0,IF($A65&gt;F$3+F$4,0,F$15-F192-F255))</f>
        <v>1072.8848762922273</v>
      </c>
      <c r="G380" s="2">
        <f t="shared" si="827"/>
        <v>902.03667532012787</v>
      </c>
      <c r="H380" s="2">
        <f t="shared" si="827"/>
        <v>729.6199757623159</v>
      </c>
      <c r="I380" s="2">
        <f t="shared" si="827"/>
        <v>614.81914650668625</v>
      </c>
      <c r="J380" s="2">
        <f t="shared" si="827"/>
        <v>471.64055116128281</v>
      </c>
      <c r="K380" s="2">
        <f t="shared" ref="K380:S380" si="828">IF(K$4-$A65&gt;=0,0,IF($A65&gt;K$3+K$4,0,K$15-K192-K255))</f>
        <v>329.31715517729509</v>
      </c>
      <c r="L380" s="2">
        <f t="shared" si="828"/>
        <v>0</v>
      </c>
      <c r="M380" s="2">
        <f t="shared" si="828"/>
        <v>0</v>
      </c>
      <c r="N380" s="2">
        <f t="shared" si="828"/>
        <v>0</v>
      </c>
      <c r="O380" s="2">
        <f t="shared" si="828"/>
        <v>1107.7582286511106</v>
      </c>
      <c r="P380" s="2">
        <f t="shared" si="828"/>
        <v>940.70124482493645</v>
      </c>
      <c r="Q380" s="2">
        <f t="shared" si="828"/>
        <v>771.05798940156569</v>
      </c>
      <c r="R380" s="2">
        <f t="shared" si="828"/>
        <v>658.24575760253754</v>
      </c>
      <c r="S380" s="2">
        <f t="shared" si="828"/>
        <v>517.69864369859704</v>
      </c>
      <c r="T380" s="2">
        <f t="shared" ref="T380:U380" si="829">IF(T$4-$A65&gt;=0,0,IF($A65&gt;T$3+T$4,0,T$15-T192-T255))</f>
        <v>378.57377787725994</v>
      </c>
      <c r="U380" s="2">
        <f t="shared" si="829"/>
        <v>807.44618791046344</v>
      </c>
    </row>
    <row r="381" spans="1:21" x14ac:dyDescent="0.3">
      <c r="A381">
        <f t="shared" si="793"/>
        <v>11</v>
      </c>
      <c r="B381" s="1">
        <f>VLOOKUP(A381,dates!A:B,2,0)</f>
        <v>45261</v>
      </c>
      <c r="C381" s="2">
        <f t="shared" ref="C381:E381" si="830">IF(C$4-$A66&gt;=0,0,IF($A66&gt;C$3+C$4,0,C$15-C193-C256))</f>
        <v>0</v>
      </c>
      <c r="D381" s="2">
        <f t="shared" si="830"/>
        <v>0</v>
      </c>
      <c r="E381" s="2">
        <f t="shared" si="830"/>
        <v>0</v>
      </c>
      <c r="F381" s="2">
        <f t="shared" ref="F381:J381" si="831">IF(F$4-$A66&gt;=0,0,IF($A66&gt;F$3+F$4,0,F$15-F193-F256))</f>
        <v>0</v>
      </c>
      <c r="G381" s="2">
        <f t="shared" si="831"/>
        <v>904.74278534608811</v>
      </c>
      <c r="H381" s="2">
        <f t="shared" si="831"/>
        <v>731.80883568960269</v>
      </c>
      <c r="I381" s="2">
        <f t="shared" si="831"/>
        <v>616.66360394620631</v>
      </c>
      <c r="J381" s="2">
        <f t="shared" si="831"/>
        <v>473.05547281476674</v>
      </c>
      <c r="K381" s="2">
        <f t="shared" ref="K381:S381" si="832">IF(K$4-$A66&gt;=0,0,IF($A66&gt;K$3+K$4,0,K$15-K193-K256))</f>
        <v>330.30510664282696</v>
      </c>
      <c r="L381" s="2">
        <f t="shared" si="832"/>
        <v>0</v>
      </c>
      <c r="M381" s="2">
        <f t="shared" si="832"/>
        <v>0</v>
      </c>
      <c r="N381" s="2">
        <f t="shared" si="832"/>
        <v>0</v>
      </c>
      <c r="O381" s="2">
        <f t="shared" si="832"/>
        <v>0</v>
      </c>
      <c r="P381" s="2">
        <f t="shared" si="832"/>
        <v>943.52334855941137</v>
      </c>
      <c r="Q381" s="2">
        <f t="shared" si="832"/>
        <v>773.37116336977033</v>
      </c>
      <c r="R381" s="2">
        <f t="shared" si="832"/>
        <v>660.22049487534525</v>
      </c>
      <c r="S381" s="2">
        <f t="shared" si="832"/>
        <v>519.25173962969268</v>
      </c>
      <c r="T381" s="2">
        <f t="shared" ref="T381:U381" si="833">IF(T$4-$A66&gt;=0,0,IF($A66&gt;T$3+T$4,0,T$15-T193-T256))</f>
        <v>379.70949921089181</v>
      </c>
      <c r="U381" s="2">
        <f t="shared" si="833"/>
        <v>809.86852647419471</v>
      </c>
    </row>
    <row r="382" spans="1:21" x14ac:dyDescent="0.3">
      <c r="A382">
        <f t="shared" si="793"/>
        <v>12</v>
      </c>
      <c r="B382" s="1">
        <f>VLOOKUP(A382,dates!A:B,2,0)</f>
        <v>45292</v>
      </c>
      <c r="C382" s="2">
        <f t="shared" ref="C382:E382" si="834">IF(C$4-$A67&gt;=0,0,IF($A67&gt;C$3+C$4,0,C$15-C194-C257))</f>
        <v>0</v>
      </c>
      <c r="D382" s="2">
        <f t="shared" si="834"/>
        <v>0</v>
      </c>
      <c r="E382" s="2">
        <f t="shared" si="834"/>
        <v>0</v>
      </c>
      <c r="F382" s="2">
        <f t="shared" ref="F382:J382" si="835">IF(F$4-$A67&gt;=0,0,IF($A67&gt;F$3+F$4,0,F$15-F194-F257))</f>
        <v>0</v>
      </c>
      <c r="G382" s="2">
        <f t="shared" si="835"/>
        <v>905.41677692285066</v>
      </c>
      <c r="H382" s="2">
        <f t="shared" si="835"/>
        <v>734.00426219667168</v>
      </c>
      <c r="I382" s="2">
        <f t="shared" si="835"/>
        <v>618.51359475804509</v>
      </c>
      <c r="J382" s="2">
        <f t="shared" si="835"/>
        <v>474.47463923321095</v>
      </c>
      <c r="K382" s="2">
        <f t="shared" ref="K382:S382" si="836">IF(K$4-$A67&gt;=0,0,IF($A67&gt;K$3+K$4,0,K$15-K194-K257))</f>
        <v>331.29602196275545</v>
      </c>
      <c r="L382" s="2">
        <f t="shared" si="836"/>
        <v>0</v>
      </c>
      <c r="M382" s="2">
        <f t="shared" si="836"/>
        <v>0</v>
      </c>
      <c r="N382" s="2">
        <f t="shared" si="836"/>
        <v>0</v>
      </c>
      <c r="O382" s="2">
        <f t="shared" si="836"/>
        <v>0</v>
      </c>
      <c r="P382" s="2">
        <f t="shared" si="836"/>
        <v>942.94032085746596</v>
      </c>
      <c r="Q382" s="2">
        <f t="shared" si="836"/>
        <v>775.69127685987974</v>
      </c>
      <c r="R382" s="2">
        <f t="shared" si="836"/>
        <v>662.20115635997115</v>
      </c>
      <c r="S382" s="2">
        <f t="shared" si="836"/>
        <v>520.80949484858195</v>
      </c>
      <c r="T382" s="2">
        <f t="shared" ref="T382:U382" si="837">IF(T$4-$A67&gt;=0,0,IF($A67&gt;T$3+T$4,0,T$15-T194-T257))</f>
        <v>380.84862770852448</v>
      </c>
      <c r="U382" s="2">
        <f t="shared" si="837"/>
        <v>812.29813205361722</v>
      </c>
    </row>
    <row r="383" spans="1:21" x14ac:dyDescent="0.3">
      <c r="A383">
        <f t="shared" si="793"/>
        <v>13</v>
      </c>
      <c r="B383" s="1">
        <f>VLOOKUP(A383,dates!A:B,2,0)</f>
        <v>45323</v>
      </c>
      <c r="C383" s="2">
        <f t="shared" ref="C383:E383" si="838">IF(C$4-$A68&gt;=0,0,IF($A68&gt;C$3+C$4,0,C$15-C195-C258))</f>
        <v>0</v>
      </c>
      <c r="D383" s="2">
        <f t="shared" si="838"/>
        <v>0</v>
      </c>
      <c r="E383" s="2">
        <f t="shared" si="838"/>
        <v>0</v>
      </c>
      <c r="F383" s="2">
        <f t="shared" ref="F383:J383" si="839">IF(F$4-$A68&gt;=0,0,IF($A68&gt;F$3+F$4,0,F$15-F195-F258))</f>
        <v>0</v>
      </c>
      <c r="G383" s="2">
        <f t="shared" si="839"/>
        <v>0</v>
      </c>
      <c r="H383" s="2">
        <f t="shared" si="839"/>
        <v>736.20627498326155</v>
      </c>
      <c r="I383" s="2">
        <f t="shared" si="839"/>
        <v>620.36913554231921</v>
      </c>
      <c r="J383" s="2">
        <f t="shared" si="839"/>
        <v>475.89806315091062</v>
      </c>
      <c r="K383" s="2">
        <f t="shared" ref="K383:S383" si="840">IF(K$4-$A68&gt;=0,0,IF($A68&gt;K$3+K$4,0,K$15-K195-K258))</f>
        <v>332.2899100286437</v>
      </c>
      <c r="L383" s="2">
        <f t="shared" si="840"/>
        <v>0</v>
      </c>
      <c r="M383" s="2">
        <f t="shared" si="840"/>
        <v>0</v>
      </c>
      <c r="N383" s="2">
        <f t="shared" si="840"/>
        <v>0</v>
      </c>
      <c r="O383" s="2">
        <f t="shared" si="840"/>
        <v>0</v>
      </c>
      <c r="P383" s="2">
        <f t="shared" si="840"/>
        <v>0</v>
      </c>
      <c r="Q383" s="2">
        <f t="shared" si="840"/>
        <v>778.01835069045933</v>
      </c>
      <c r="R383" s="2">
        <f t="shared" si="840"/>
        <v>664.18775982905106</v>
      </c>
      <c r="S383" s="2">
        <f t="shared" si="840"/>
        <v>522.37192333312748</v>
      </c>
      <c r="T383" s="2">
        <f t="shared" ref="T383:U383" si="841">IF(T$4-$A68&gt;=0,0,IF($A68&gt;T$3+T$4,0,T$15-T195-T258))</f>
        <v>381.99117359165001</v>
      </c>
      <c r="U383" s="2">
        <f t="shared" si="841"/>
        <v>814.73502644977827</v>
      </c>
    </row>
    <row r="384" spans="1:21" x14ac:dyDescent="0.3">
      <c r="A384">
        <f t="shared" si="793"/>
        <v>14</v>
      </c>
      <c r="B384" s="1">
        <f>VLOOKUP(A384,dates!A:B,2,0)</f>
        <v>45352</v>
      </c>
      <c r="C384" s="2">
        <f t="shared" ref="C384:E384" si="842">IF(C$4-$A69&gt;=0,0,IF($A69&gt;C$3+C$4,0,C$15-C196-C259))</f>
        <v>0</v>
      </c>
      <c r="D384" s="2">
        <f t="shared" si="842"/>
        <v>0</v>
      </c>
      <c r="E384" s="2">
        <f t="shared" si="842"/>
        <v>0</v>
      </c>
      <c r="F384" s="2">
        <f t="shared" ref="F384:J384" si="843">IF(F$4-$A69&gt;=0,0,IF($A69&gt;F$3+F$4,0,F$15-F196-F259))</f>
        <v>0</v>
      </c>
      <c r="G384" s="2">
        <f t="shared" si="843"/>
        <v>0</v>
      </c>
      <c r="H384" s="2">
        <f t="shared" si="843"/>
        <v>738.41489380821133</v>
      </c>
      <c r="I384" s="2">
        <f t="shared" si="843"/>
        <v>622.23024294894606</v>
      </c>
      <c r="J384" s="2">
        <f t="shared" si="843"/>
        <v>477.32575734036334</v>
      </c>
      <c r="K384" s="2">
        <f t="shared" ref="K384:S384" si="844">IF(K$4-$A69&gt;=0,0,IF($A69&gt;K$3+K$4,0,K$15-K196-K259))</f>
        <v>333.28677975872966</v>
      </c>
      <c r="L384" s="2">
        <f t="shared" si="844"/>
        <v>0</v>
      </c>
      <c r="M384" s="2">
        <f t="shared" si="844"/>
        <v>0</v>
      </c>
      <c r="N384" s="2">
        <f t="shared" si="844"/>
        <v>0</v>
      </c>
      <c r="O384" s="2">
        <f t="shared" si="844"/>
        <v>0</v>
      </c>
      <c r="P384" s="2">
        <f t="shared" si="844"/>
        <v>0</v>
      </c>
      <c r="Q384" s="2">
        <f t="shared" si="844"/>
        <v>780.35240574253066</v>
      </c>
      <c r="R384" s="2">
        <f t="shared" si="844"/>
        <v>666.18032310853835</v>
      </c>
      <c r="S384" s="2">
        <f t="shared" si="844"/>
        <v>523.9390391031269</v>
      </c>
      <c r="T384" s="2">
        <f t="shared" ref="T384:U384" si="845">IF(T$4-$A69&gt;=0,0,IF($A69&gt;T$3+T$4,0,T$15-T196-T259))</f>
        <v>383.137147112425</v>
      </c>
      <c r="U384" s="2">
        <f t="shared" si="845"/>
        <v>817.17923152912761</v>
      </c>
    </row>
    <row r="385" spans="1:21" x14ac:dyDescent="0.3">
      <c r="A385">
        <f t="shared" si="793"/>
        <v>15</v>
      </c>
      <c r="B385" s="1">
        <f>VLOOKUP(A385,dates!A:B,2,0)</f>
        <v>45383</v>
      </c>
      <c r="C385" s="2">
        <f t="shared" ref="C385:E385" si="846">IF(C$4-$A70&gt;=0,0,IF($A70&gt;C$3+C$4,0,C$15-C197-C260))</f>
        <v>0</v>
      </c>
      <c r="D385" s="2">
        <f t="shared" si="846"/>
        <v>0</v>
      </c>
      <c r="E385" s="2">
        <f t="shared" si="846"/>
        <v>0</v>
      </c>
      <c r="F385" s="2">
        <f t="shared" ref="F385:J385" si="847">IF(F$4-$A70&gt;=0,0,IF($A70&gt;F$3+F$4,0,F$15-F197-F260))</f>
        <v>0</v>
      </c>
      <c r="G385" s="2">
        <f t="shared" si="847"/>
        <v>0</v>
      </c>
      <c r="H385" s="2">
        <f t="shared" si="847"/>
        <v>738.08824633842767</v>
      </c>
      <c r="I385" s="2">
        <f t="shared" si="847"/>
        <v>624.09693367779289</v>
      </c>
      <c r="J385" s="2">
        <f t="shared" si="847"/>
        <v>478.75773461238441</v>
      </c>
      <c r="K385" s="2">
        <f t="shared" ref="K385:S385" si="848">IF(K$4-$A70&gt;=0,0,IF($A70&gt;K$3+K$4,0,K$15-K197-K260))</f>
        <v>334.28664009800588</v>
      </c>
      <c r="L385" s="2">
        <f t="shared" si="848"/>
        <v>0</v>
      </c>
      <c r="M385" s="2">
        <f t="shared" si="848"/>
        <v>0</v>
      </c>
      <c r="N385" s="2">
        <f t="shared" si="848"/>
        <v>0</v>
      </c>
      <c r="O385" s="2">
        <f t="shared" si="848"/>
        <v>0</v>
      </c>
      <c r="P385" s="2">
        <f t="shared" si="848"/>
        <v>0</v>
      </c>
      <c r="Q385" s="2">
        <f t="shared" si="848"/>
        <v>778.30338762332417</v>
      </c>
      <c r="R385" s="2">
        <f t="shared" si="848"/>
        <v>668.17886407786375</v>
      </c>
      <c r="S385" s="2">
        <f t="shared" si="848"/>
        <v>525.51085622043627</v>
      </c>
      <c r="T385" s="2">
        <f t="shared" ref="T385:U385" si="849">IF(T$4-$A70&gt;=0,0,IF($A70&gt;T$3+T$4,0,T$15-T197-T260))</f>
        <v>384.28655855376229</v>
      </c>
      <c r="U385" s="2">
        <f t="shared" si="849"/>
        <v>813.61773827916966</v>
      </c>
    </row>
    <row r="386" spans="1:21" x14ac:dyDescent="0.3">
      <c r="A386">
        <f t="shared" si="793"/>
        <v>16</v>
      </c>
      <c r="B386" s="1">
        <f>VLOOKUP(A386,dates!A:B,2,0)</f>
        <v>45413</v>
      </c>
      <c r="C386" s="2">
        <f t="shared" ref="C386:E386" si="850">IF(C$4-$A71&gt;=0,0,IF($A71&gt;C$3+C$4,0,C$15-C198-C261))</f>
        <v>0</v>
      </c>
      <c r="D386" s="2">
        <f t="shared" si="850"/>
        <v>0</v>
      </c>
      <c r="E386" s="2">
        <f t="shared" si="850"/>
        <v>0</v>
      </c>
      <c r="F386" s="2">
        <f t="shared" ref="F386:J386" si="851">IF(F$4-$A71&gt;=0,0,IF($A71&gt;F$3+F$4,0,F$15-F198-F261))</f>
        <v>0</v>
      </c>
      <c r="G386" s="2">
        <f t="shared" si="851"/>
        <v>0</v>
      </c>
      <c r="H386" s="2">
        <f t="shared" si="851"/>
        <v>0</v>
      </c>
      <c r="I386" s="2">
        <f t="shared" si="851"/>
        <v>625.96922447882628</v>
      </c>
      <c r="J386" s="2">
        <f t="shared" si="851"/>
        <v>480.19400781622164</v>
      </c>
      <c r="K386" s="2">
        <f t="shared" ref="K386:S386" si="852">IF(K$4-$A71&gt;=0,0,IF($A71&gt;K$3+K$4,0,K$15-K198-K261))</f>
        <v>335.28950001829986</v>
      </c>
      <c r="L386" s="2">
        <f t="shared" si="852"/>
        <v>0</v>
      </c>
      <c r="M386" s="2">
        <f t="shared" si="852"/>
        <v>0</v>
      </c>
      <c r="N386" s="2">
        <f t="shared" si="852"/>
        <v>0</v>
      </c>
      <c r="O386" s="2">
        <f t="shared" si="852"/>
        <v>0</v>
      </c>
      <c r="P386" s="2">
        <f t="shared" si="852"/>
        <v>0</v>
      </c>
      <c r="Q386" s="2">
        <f t="shared" si="852"/>
        <v>0</v>
      </c>
      <c r="R386" s="2">
        <f t="shared" si="852"/>
        <v>670.18340067009751</v>
      </c>
      <c r="S386" s="2">
        <f t="shared" si="852"/>
        <v>527.08738878909764</v>
      </c>
      <c r="T386" s="2">
        <f t="shared" ref="T386:U386" si="853">IF(T$4-$A71&gt;=0,0,IF($A71&gt;T$3+T$4,0,T$15-T198-T261))</f>
        <v>385.43941822942355</v>
      </c>
      <c r="U386" s="2">
        <f t="shared" si="853"/>
        <v>0</v>
      </c>
    </row>
    <row r="387" spans="1:21" x14ac:dyDescent="0.3">
      <c r="A387">
        <f t="shared" si="793"/>
        <v>17</v>
      </c>
      <c r="B387" s="1">
        <f>VLOOKUP(A387,dates!A:B,2,0)</f>
        <v>45444</v>
      </c>
      <c r="C387" s="2">
        <f t="shared" ref="C387:E387" si="854">IF(C$4-$A72&gt;=0,0,IF($A72&gt;C$3+C$4,0,C$15-C199-C262))</f>
        <v>0</v>
      </c>
      <c r="D387" s="2">
        <f t="shared" si="854"/>
        <v>0</v>
      </c>
      <c r="E387" s="2">
        <f t="shared" si="854"/>
        <v>0</v>
      </c>
      <c r="F387" s="2">
        <f t="shared" ref="F387:J387" si="855">IF(F$4-$A72&gt;=0,0,IF($A72&gt;F$3+F$4,0,F$15-F199-F262))</f>
        <v>0</v>
      </c>
      <c r="G387" s="2">
        <f t="shared" si="855"/>
        <v>0</v>
      </c>
      <c r="H387" s="2">
        <f t="shared" si="855"/>
        <v>0</v>
      </c>
      <c r="I387" s="2">
        <f t="shared" si="855"/>
        <v>627.84713215226282</v>
      </c>
      <c r="J387" s="2">
        <f t="shared" si="855"/>
        <v>481.6345898396703</v>
      </c>
      <c r="K387" s="2">
        <f t="shared" ref="K387:S387" si="856">IF(K$4-$A72&gt;=0,0,IF($A72&gt;K$3+K$4,0,K$15-K199-K262))</f>
        <v>336.29536851835479</v>
      </c>
      <c r="L387" s="2">
        <f t="shared" si="856"/>
        <v>0</v>
      </c>
      <c r="M387" s="2">
        <f t="shared" si="856"/>
        <v>0</v>
      </c>
      <c r="N387" s="2">
        <f t="shared" si="856"/>
        <v>0</v>
      </c>
      <c r="O387" s="2">
        <f t="shared" si="856"/>
        <v>0</v>
      </c>
      <c r="P387" s="2">
        <f t="shared" si="856"/>
        <v>0</v>
      </c>
      <c r="Q387" s="2">
        <f t="shared" si="856"/>
        <v>0</v>
      </c>
      <c r="R387" s="2">
        <f t="shared" si="856"/>
        <v>672.19395087210785</v>
      </c>
      <c r="S387" s="2">
        <f t="shared" si="856"/>
        <v>528.66865095546484</v>
      </c>
      <c r="T387" s="2">
        <f t="shared" ref="T387:U387" si="857">IF(T$4-$A72&gt;=0,0,IF($A72&gt;T$3+T$4,0,T$15-T199-T262))</f>
        <v>386.5957364841118</v>
      </c>
      <c r="U387" s="2">
        <f t="shared" si="857"/>
        <v>0</v>
      </c>
    </row>
    <row r="388" spans="1:21" x14ac:dyDescent="0.3">
      <c r="A388">
        <f t="shared" si="793"/>
        <v>18</v>
      </c>
      <c r="B388" s="1">
        <f>VLOOKUP(A388,dates!A:B,2,0)</f>
        <v>45474</v>
      </c>
      <c r="C388" s="2">
        <f t="shared" ref="C388:E388" si="858">IF(C$4-$A73&gt;=0,0,IF($A73&gt;C$3+C$4,0,C$15-C200-C263))</f>
        <v>0</v>
      </c>
      <c r="D388" s="2">
        <f t="shared" si="858"/>
        <v>0</v>
      </c>
      <c r="E388" s="2">
        <f t="shared" si="858"/>
        <v>0</v>
      </c>
      <c r="F388" s="2">
        <f t="shared" ref="F388:J388" si="859">IF(F$4-$A73&gt;=0,0,IF($A73&gt;F$3+F$4,0,F$15-F200-F263))</f>
        <v>0</v>
      </c>
      <c r="G388" s="2">
        <f t="shared" si="859"/>
        <v>0</v>
      </c>
      <c r="H388" s="2">
        <f t="shared" si="859"/>
        <v>0</v>
      </c>
      <c r="I388" s="2">
        <f t="shared" si="859"/>
        <v>626.67529087365426</v>
      </c>
      <c r="J388" s="2">
        <f t="shared" si="859"/>
        <v>483.07949360918929</v>
      </c>
      <c r="K388" s="2">
        <f t="shared" ref="K388:S388" si="860">IF(K$4-$A73&gt;=0,0,IF($A73&gt;K$3+K$4,0,K$15-K200-K263))</f>
        <v>337.3042546239098</v>
      </c>
      <c r="L388" s="2">
        <f t="shared" si="860"/>
        <v>0</v>
      </c>
      <c r="M388" s="2">
        <f t="shared" si="860"/>
        <v>0</v>
      </c>
      <c r="N388" s="2">
        <f t="shared" si="860"/>
        <v>0</v>
      </c>
      <c r="O388" s="2">
        <f t="shared" si="860"/>
        <v>0</v>
      </c>
      <c r="P388" s="2">
        <f t="shared" si="860"/>
        <v>0</v>
      </c>
      <c r="Q388" s="2">
        <f t="shared" si="860"/>
        <v>0</v>
      </c>
      <c r="R388" s="2">
        <f t="shared" si="860"/>
        <v>668.82034434913555</v>
      </c>
      <c r="S388" s="2">
        <f t="shared" si="860"/>
        <v>530.25465690833141</v>
      </c>
      <c r="T388" s="2">
        <f t="shared" ref="T388:U388" si="861">IF(T$4-$A73&gt;=0,0,IF($A73&gt;T$3+T$4,0,T$15-T200-T263))</f>
        <v>387.75552369356416</v>
      </c>
      <c r="U388" s="2">
        <f t="shared" si="861"/>
        <v>0</v>
      </c>
    </row>
    <row r="389" spans="1:21" x14ac:dyDescent="0.3">
      <c r="A389">
        <f t="shared" si="793"/>
        <v>19</v>
      </c>
      <c r="B389" s="1">
        <f>VLOOKUP(A389,dates!A:B,2,0)</f>
        <v>45505</v>
      </c>
      <c r="C389" s="2">
        <f t="shared" ref="C389:E389" si="862">IF(C$4-$A74&gt;=0,0,IF($A74&gt;C$3+C$4,0,C$15-C201-C264))</f>
        <v>0</v>
      </c>
      <c r="D389" s="2">
        <f t="shared" si="862"/>
        <v>0</v>
      </c>
      <c r="E389" s="2">
        <f t="shared" si="862"/>
        <v>0</v>
      </c>
      <c r="F389" s="2">
        <f t="shared" ref="F389:J389" si="863">IF(F$4-$A74&gt;=0,0,IF($A74&gt;F$3+F$4,0,F$15-F201-F264))</f>
        <v>0</v>
      </c>
      <c r="G389" s="2">
        <f t="shared" si="863"/>
        <v>0</v>
      </c>
      <c r="H389" s="2">
        <f t="shared" si="863"/>
        <v>0</v>
      </c>
      <c r="I389" s="2">
        <f t="shared" si="863"/>
        <v>0</v>
      </c>
      <c r="J389" s="2">
        <f t="shared" si="863"/>
        <v>484.52873209001689</v>
      </c>
      <c r="K389" s="2">
        <f t="shared" ref="K389:S389" si="864">IF(K$4-$A74&gt;=0,0,IF($A74&gt;K$3+K$4,0,K$15-K201-K264))</f>
        <v>338.31616738778149</v>
      </c>
      <c r="L389" s="2">
        <f t="shared" si="864"/>
        <v>0</v>
      </c>
      <c r="M389" s="2">
        <f t="shared" si="864"/>
        <v>0</v>
      </c>
      <c r="N389" s="2">
        <f t="shared" si="864"/>
        <v>0</v>
      </c>
      <c r="O389" s="2">
        <f t="shared" si="864"/>
        <v>0</v>
      </c>
      <c r="P389" s="2">
        <f t="shared" si="864"/>
        <v>0</v>
      </c>
      <c r="Q389" s="2">
        <f t="shared" si="864"/>
        <v>0</v>
      </c>
      <c r="R389" s="2">
        <f t="shared" si="864"/>
        <v>0</v>
      </c>
      <c r="S389" s="2">
        <f t="shared" si="864"/>
        <v>531.84542087905641</v>
      </c>
      <c r="T389" s="2">
        <f t="shared" ref="T389:U389" si="865">IF(T$4-$A74&gt;=0,0,IF($A74&gt;T$3+T$4,0,T$15-T201-T264))</f>
        <v>388.91879026464488</v>
      </c>
      <c r="U389" s="2">
        <f t="shared" si="865"/>
        <v>0</v>
      </c>
    </row>
    <row r="390" spans="1:21" x14ac:dyDescent="0.3">
      <c r="A390">
        <f t="shared" si="793"/>
        <v>20</v>
      </c>
      <c r="B390" s="1">
        <f>VLOOKUP(A390,dates!A:B,2,0)</f>
        <v>45536</v>
      </c>
      <c r="C390" s="2">
        <f t="shared" ref="C390:E390" si="866">IF(C$4-$A75&gt;=0,0,IF($A75&gt;C$3+C$4,0,C$15-C202-C265))</f>
        <v>0</v>
      </c>
      <c r="D390" s="2">
        <f t="shared" si="866"/>
        <v>0</v>
      </c>
      <c r="E390" s="2">
        <f t="shared" si="866"/>
        <v>0</v>
      </c>
      <c r="F390" s="2">
        <f t="shared" ref="F390:J390" si="867">IF(F$4-$A75&gt;=0,0,IF($A75&gt;F$3+F$4,0,F$15-F202-F265))</f>
        <v>0</v>
      </c>
      <c r="G390" s="2">
        <f t="shared" si="867"/>
        <v>0</v>
      </c>
      <c r="H390" s="2">
        <f t="shared" si="867"/>
        <v>0</v>
      </c>
      <c r="I390" s="2">
        <f t="shared" si="867"/>
        <v>0</v>
      </c>
      <c r="J390" s="2">
        <f t="shared" si="867"/>
        <v>485.98231828628695</v>
      </c>
      <c r="K390" s="2">
        <f t="shared" ref="K390:S390" si="868">IF(K$4-$A75&gt;=0,0,IF($A75&gt;K$3+K$4,0,K$15-K202-K265))</f>
        <v>339.3311158899449</v>
      </c>
      <c r="L390" s="2">
        <f t="shared" si="868"/>
        <v>0</v>
      </c>
      <c r="M390" s="2">
        <f t="shared" si="868"/>
        <v>0</v>
      </c>
      <c r="N390" s="2">
        <f t="shared" si="868"/>
        <v>0</v>
      </c>
      <c r="O390" s="2">
        <f t="shared" si="868"/>
        <v>0</v>
      </c>
      <c r="P390" s="2">
        <f t="shared" si="868"/>
        <v>0</v>
      </c>
      <c r="Q390" s="2">
        <f t="shared" si="868"/>
        <v>0</v>
      </c>
      <c r="R390" s="2">
        <f t="shared" si="868"/>
        <v>0</v>
      </c>
      <c r="S390" s="2">
        <f t="shared" si="868"/>
        <v>533.4409571416935</v>
      </c>
      <c r="T390" s="2">
        <f t="shared" ref="T390:U390" si="869">IF(T$4-$A75&gt;=0,0,IF($A75&gt;T$3+T$4,0,T$15-T202-T265))</f>
        <v>390.08554663543879</v>
      </c>
      <c r="U390" s="2">
        <f t="shared" si="869"/>
        <v>0</v>
      </c>
    </row>
    <row r="391" spans="1:21" x14ac:dyDescent="0.3">
      <c r="A391">
        <f t="shared" si="793"/>
        <v>21</v>
      </c>
      <c r="B391" s="1">
        <f>VLOOKUP(A391,dates!A:B,2,0)</f>
        <v>45566</v>
      </c>
      <c r="C391" s="2">
        <f t="shared" ref="C391:E391" si="870">IF(C$4-$A76&gt;=0,0,IF($A76&gt;C$3+C$4,0,C$15-C203-C266))</f>
        <v>0</v>
      </c>
      <c r="D391" s="2">
        <f t="shared" si="870"/>
        <v>0</v>
      </c>
      <c r="E391" s="2">
        <f t="shared" si="870"/>
        <v>0</v>
      </c>
      <c r="F391" s="2">
        <f t="shared" ref="F391:J391" si="871">IF(F$4-$A76&gt;=0,0,IF($A76&gt;F$3+F$4,0,F$15-F203-F266))</f>
        <v>0</v>
      </c>
      <c r="G391" s="2">
        <f t="shared" si="871"/>
        <v>0</v>
      </c>
      <c r="H391" s="2">
        <f t="shared" si="871"/>
        <v>0</v>
      </c>
      <c r="I391" s="2">
        <f t="shared" si="871"/>
        <v>0</v>
      </c>
      <c r="J391" s="2">
        <f t="shared" si="871"/>
        <v>487.44026524114577</v>
      </c>
      <c r="K391" s="2">
        <f t="shared" ref="K391:S391" si="872">IF(K$4-$A76&gt;=0,0,IF($A76&gt;K$3+K$4,0,K$15-K203-K266))</f>
        <v>340.34910923761475</v>
      </c>
      <c r="L391" s="2">
        <f t="shared" si="872"/>
        <v>0</v>
      </c>
      <c r="M391" s="2">
        <f t="shared" si="872"/>
        <v>0</v>
      </c>
      <c r="N391" s="2">
        <f t="shared" si="872"/>
        <v>0</v>
      </c>
      <c r="O391" s="2">
        <f t="shared" si="872"/>
        <v>0</v>
      </c>
      <c r="P391" s="2">
        <f t="shared" si="872"/>
        <v>0</v>
      </c>
      <c r="Q391" s="2">
        <f t="shared" si="872"/>
        <v>0</v>
      </c>
      <c r="R391" s="2">
        <f t="shared" si="872"/>
        <v>0</v>
      </c>
      <c r="S391" s="2">
        <f t="shared" si="872"/>
        <v>535.04128001311858</v>
      </c>
      <c r="T391" s="2">
        <f t="shared" ref="T391:U391" si="873">IF(T$4-$A76&gt;=0,0,IF($A76&gt;T$3+T$4,0,T$15-T203-T266))</f>
        <v>391.25580327534504</v>
      </c>
      <c r="U391" s="2">
        <f t="shared" si="873"/>
        <v>0</v>
      </c>
    </row>
    <row r="392" spans="1:21" x14ac:dyDescent="0.3">
      <c r="A392">
        <f t="shared" si="793"/>
        <v>22</v>
      </c>
      <c r="B392" s="1">
        <f>VLOOKUP(A392,dates!A:B,2,0)</f>
        <v>45597</v>
      </c>
      <c r="C392" s="2">
        <f t="shared" ref="C392:E392" si="874">IF(C$4-$A77&gt;=0,0,IF($A77&gt;C$3+C$4,0,C$15-C204-C267))</f>
        <v>0</v>
      </c>
      <c r="D392" s="2">
        <f t="shared" si="874"/>
        <v>0</v>
      </c>
      <c r="E392" s="2">
        <f t="shared" si="874"/>
        <v>0</v>
      </c>
      <c r="F392" s="2">
        <f t="shared" ref="F392:J392" si="875">IF(F$4-$A77&gt;=0,0,IF($A77&gt;F$3+F$4,0,F$15-F204-F267))</f>
        <v>0</v>
      </c>
      <c r="G392" s="2">
        <f t="shared" si="875"/>
        <v>0</v>
      </c>
      <c r="H392" s="2">
        <f t="shared" si="875"/>
        <v>0</v>
      </c>
      <c r="I392" s="2">
        <f t="shared" si="875"/>
        <v>0</v>
      </c>
      <c r="J392" s="2">
        <f t="shared" si="875"/>
        <v>488.90258603686925</v>
      </c>
      <c r="K392" s="2">
        <f t="shared" ref="K392:S392" si="876">IF(K$4-$A77&gt;=0,0,IF($A77&gt;K$3+K$4,0,K$15-K204-K267))</f>
        <v>341.37015656532759</v>
      </c>
      <c r="L392" s="2">
        <f t="shared" si="876"/>
        <v>0</v>
      </c>
      <c r="M392" s="2">
        <f t="shared" si="876"/>
        <v>0</v>
      </c>
      <c r="N392" s="2">
        <f t="shared" si="876"/>
        <v>0</v>
      </c>
      <c r="O392" s="2">
        <f t="shared" si="876"/>
        <v>0</v>
      </c>
      <c r="P392" s="2">
        <f t="shared" si="876"/>
        <v>0</v>
      </c>
      <c r="Q392" s="2">
        <f t="shared" si="876"/>
        <v>0</v>
      </c>
      <c r="R392" s="2">
        <f t="shared" si="876"/>
        <v>0</v>
      </c>
      <c r="S392" s="2">
        <f t="shared" si="876"/>
        <v>536.64640385315795</v>
      </c>
      <c r="T392" s="2">
        <f t="shared" ref="T392:U392" si="877">IF(T$4-$A77&gt;=0,0,IF($A77&gt;T$3+T$4,0,T$15-T204-T267))</f>
        <v>392.42957068517109</v>
      </c>
      <c r="U392" s="2">
        <f t="shared" si="877"/>
        <v>0</v>
      </c>
    </row>
    <row r="393" spans="1:21" x14ac:dyDescent="0.3">
      <c r="A393">
        <f t="shared" si="793"/>
        <v>23</v>
      </c>
      <c r="B393" s="1">
        <f>VLOOKUP(A393,dates!A:B,2,0)</f>
        <v>45627</v>
      </c>
      <c r="C393" s="2">
        <f t="shared" ref="C393:E393" si="878">IF(C$4-$A78&gt;=0,0,IF($A78&gt;C$3+C$4,0,C$15-C205-C268))</f>
        <v>0</v>
      </c>
      <c r="D393" s="2">
        <f t="shared" si="878"/>
        <v>0</v>
      </c>
      <c r="E393" s="2">
        <f t="shared" si="878"/>
        <v>0</v>
      </c>
      <c r="F393" s="2">
        <f t="shared" ref="F393:J393" si="879">IF(F$4-$A78&gt;=0,0,IF($A78&gt;F$3+F$4,0,F$15-F205-F268))</f>
        <v>0</v>
      </c>
      <c r="G393" s="2">
        <f t="shared" si="879"/>
        <v>0</v>
      </c>
      <c r="H393" s="2">
        <f t="shared" si="879"/>
        <v>0</v>
      </c>
      <c r="I393" s="2">
        <f t="shared" si="879"/>
        <v>0</v>
      </c>
      <c r="J393" s="2">
        <f t="shared" si="879"/>
        <v>490.36929379497985</v>
      </c>
      <c r="K393" s="2">
        <f t="shared" ref="K393:S393" si="880">IF(K$4-$A78&gt;=0,0,IF($A78&gt;K$3+K$4,0,K$15-K205-K268))</f>
        <v>342.39426703502357</v>
      </c>
      <c r="L393" s="2">
        <f t="shared" si="880"/>
        <v>0</v>
      </c>
      <c r="M393" s="2">
        <f t="shared" si="880"/>
        <v>0</v>
      </c>
      <c r="N393" s="2">
        <f t="shared" si="880"/>
        <v>0</v>
      </c>
      <c r="O393" s="2">
        <f t="shared" si="880"/>
        <v>0</v>
      </c>
      <c r="P393" s="2">
        <f t="shared" si="880"/>
        <v>0</v>
      </c>
      <c r="Q393" s="2">
        <f t="shared" si="880"/>
        <v>0</v>
      </c>
      <c r="R393" s="2">
        <f t="shared" si="880"/>
        <v>0</v>
      </c>
      <c r="S393" s="2">
        <f t="shared" si="880"/>
        <v>538.2563430647175</v>
      </c>
      <c r="T393" s="2">
        <f t="shared" ref="T393:U393" si="881">IF(T$4-$A78&gt;=0,0,IF($A78&gt;T$3+T$4,0,T$15-T205-T268))</f>
        <v>393.60685939722663</v>
      </c>
      <c r="U393" s="2">
        <f t="shared" si="881"/>
        <v>0</v>
      </c>
    </row>
    <row r="394" spans="1:21" x14ac:dyDescent="0.3">
      <c r="A394">
        <f t="shared" si="793"/>
        <v>24</v>
      </c>
      <c r="B394" s="1">
        <f>VLOOKUP(A394,dates!A:B,2,0)</f>
        <v>45658</v>
      </c>
      <c r="C394" s="2">
        <f t="shared" ref="C394:E394" si="882">IF(C$4-$A79&gt;=0,0,IF($A79&gt;C$3+C$4,0,C$15-C206-C269))</f>
        <v>0</v>
      </c>
      <c r="D394" s="2">
        <f t="shared" si="882"/>
        <v>0</v>
      </c>
      <c r="E394" s="2">
        <f t="shared" si="882"/>
        <v>0</v>
      </c>
      <c r="F394" s="2">
        <f t="shared" ref="F394:J394" si="883">IF(F$4-$A79&gt;=0,0,IF($A79&gt;F$3+F$4,0,F$15-F206-F269))</f>
        <v>0</v>
      </c>
      <c r="G394" s="2">
        <f t="shared" si="883"/>
        <v>0</v>
      </c>
      <c r="H394" s="2">
        <f t="shared" si="883"/>
        <v>0</v>
      </c>
      <c r="I394" s="2">
        <f t="shared" si="883"/>
        <v>0</v>
      </c>
      <c r="J394" s="2">
        <f t="shared" si="883"/>
        <v>487.72202224172042</v>
      </c>
      <c r="K394" s="2">
        <f t="shared" ref="K394:S394" si="884">IF(K$4-$A79&gt;=0,0,IF($A79&gt;K$3+K$4,0,K$15-K206-K269))</f>
        <v>343.4214498361286</v>
      </c>
      <c r="L394" s="2">
        <f t="shared" si="884"/>
        <v>0</v>
      </c>
      <c r="M394" s="2">
        <f t="shared" si="884"/>
        <v>0</v>
      </c>
      <c r="N394" s="2">
        <f t="shared" si="884"/>
        <v>0</v>
      </c>
      <c r="O394" s="2">
        <f t="shared" si="884"/>
        <v>0</v>
      </c>
      <c r="P394" s="2">
        <f t="shared" si="884"/>
        <v>0</v>
      </c>
      <c r="Q394" s="2">
        <f t="shared" si="884"/>
        <v>0</v>
      </c>
      <c r="R394" s="2">
        <f t="shared" si="884"/>
        <v>0</v>
      </c>
      <c r="S394" s="2">
        <f t="shared" si="884"/>
        <v>532.42089981886613</v>
      </c>
      <c r="T394" s="2">
        <f t="shared" ref="T394:U394" si="885">IF(T$4-$A79&gt;=0,0,IF($A79&gt;T$3+T$4,0,T$15-T206-T269))</f>
        <v>394.78767997541837</v>
      </c>
      <c r="U394" s="2">
        <f t="shared" si="885"/>
        <v>0</v>
      </c>
    </row>
    <row r="395" spans="1:21" x14ac:dyDescent="0.3">
      <c r="A395">
        <f t="shared" si="793"/>
        <v>25</v>
      </c>
      <c r="B395" s="1">
        <f>VLOOKUP(A395,dates!A:B,2,0)</f>
        <v>45689</v>
      </c>
      <c r="C395" s="2">
        <f t="shared" ref="C395:E395" si="886">IF(C$4-$A80&gt;=0,0,IF($A80&gt;C$3+C$4,0,C$15-C207-C270))</f>
        <v>0</v>
      </c>
      <c r="D395" s="2">
        <f t="shared" si="886"/>
        <v>0</v>
      </c>
      <c r="E395" s="2">
        <f t="shared" si="886"/>
        <v>0</v>
      </c>
      <c r="F395" s="2">
        <f t="shared" ref="F395:J395" si="887">IF(F$4-$A80&gt;=0,0,IF($A80&gt;F$3+F$4,0,F$15-F207-F270))</f>
        <v>0</v>
      </c>
      <c r="G395" s="2">
        <f t="shared" si="887"/>
        <v>0</v>
      </c>
      <c r="H395" s="2">
        <f t="shared" si="887"/>
        <v>0</v>
      </c>
      <c r="I395" s="2">
        <f t="shared" si="887"/>
        <v>0</v>
      </c>
      <c r="J395" s="2">
        <f t="shared" si="887"/>
        <v>0</v>
      </c>
      <c r="K395" s="2">
        <f t="shared" ref="K395:S395" si="888">IF(K$4-$A80&gt;=0,0,IF($A80&gt;K$3+K$4,0,K$15-K207-K270))</f>
        <v>344.45171418563694</v>
      </c>
      <c r="L395" s="2">
        <f t="shared" si="888"/>
        <v>0</v>
      </c>
      <c r="M395" s="2">
        <f t="shared" si="888"/>
        <v>0</v>
      </c>
      <c r="N395" s="2">
        <f t="shared" si="888"/>
        <v>0</v>
      </c>
      <c r="O395" s="2">
        <f t="shared" si="888"/>
        <v>0</v>
      </c>
      <c r="P395" s="2">
        <f t="shared" si="888"/>
        <v>0</v>
      </c>
      <c r="Q395" s="2">
        <f t="shared" si="888"/>
        <v>0</v>
      </c>
      <c r="R395" s="2">
        <f t="shared" si="888"/>
        <v>0</v>
      </c>
      <c r="S395" s="2">
        <f t="shared" si="888"/>
        <v>0</v>
      </c>
      <c r="T395" s="2">
        <f t="shared" ref="T395:U395" si="889">IF(T$4-$A80&gt;=0,0,IF($A80&gt;T$3+T$4,0,T$15-T207-T270))</f>
        <v>395.97204301534458</v>
      </c>
      <c r="U395" s="2">
        <f t="shared" si="889"/>
        <v>0</v>
      </c>
    </row>
    <row r="396" spans="1:21" x14ac:dyDescent="0.3">
      <c r="A396">
        <f t="shared" si="793"/>
        <v>26</v>
      </c>
      <c r="B396" s="1">
        <f>VLOOKUP(A396,dates!A:B,2,0)</f>
        <v>45717</v>
      </c>
      <c r="C396" s="2">
        <f t="shared" ref="C396:E396" si="890">IF(C$4-$A81&gt;=0,0,IF($A81&gt;C$3+C$4,0,C$15-C208-C271))</f>
        <v>0</v>
      </c>
      <c r="D396" s="2">
        <f t="shared" si="890"/>
        <v>0</v>
      </c>
      <c r="E396" s="2">
        <f t="shared" si="890"/>
        <v>0</v>
      </c>
      <c r="F396" s="2">
        <f t="shared" ref="F396:J396" si="891">IF(F$4-$A81&gt;=0,0,IF($A81&gt;F$3+F$4,0,F$15-F208-F271))</f>
        <v>0</v>
      </c>
      <c r="G396" s="2">
        <f t="shared" si="891"/>
        <v>0</v>
      </c>
      <c r="H396" s="2">
        <f t="shared" si="891"/>
        <v>0</v>
      </c>
      <c r="I396" s="2">
        <f t="shared" si="891"/>
        <v>0</v>
      </c>
      <c r="J396" s="2">
        <f t="shared" si="891"/>
        <v>0</v>
      </c>
      <c r="K396" s="2">
        <f t="shared" ref="K396:S396" si="892">IF(K$4-$A81&gt;=0,0,IF($A81&gt;K$3+K$4,0,K$15-K208-K271))</f>
        <v>345.4850693281939</v>
      </c>
      <c r="L396" s="2">
        <f t="shared" si="892"/>
        <v>0</v>
      </c>
      <c r="M396" s="2">
        <f t="shared" si="892"/>
        <v>0</v>
      </c>
      <c r="N396" s="2">
        <f t="shared" si="892"/>
        <v>0</v>
      </c>
      <c r="O396" s="2">
        <f t="shared" si="892"/>
        <v>0</v>
      </c>
      <c r="P396" s="2">
        <f t="shared" si="892"/>
        <v>0</v>
      </c>
      <c r="Q396" s="2">
        <f t="shared" si="892"/>
        <v>0</v>
      </c>
      <c r="R396" s="2">
        <f t="shared" si="892"/>
        <v>0</v>
      </c>
      <c r="S396" s="2">
        <f t="shared" si="892"/>
        <v>0</v>
      </c>
      <c r="T396" s="2">
        <f t="shared" ref="T396:U396" si="893">IF(T$4-$A81&gt;=0,0,IF($A81&gt;T$3+T$4,0,T$15-T208-T271))</f>
        <v>397.1599591443906</v>
      </c>
      <c r="U396" s="2">
        <f t="shared" si="893"/>
        <v>0</v>
      </c>
    </row>
    <row r="397" spans="1:21" x14ac:dyDescent="0.3">
      <c r="A397">
        <f t="shared" si="793"/>
        <v>27</v>
      </c>
      <c r="B397" s="1">
        <f>VLOOKUP(A397,dates!A:B,2,0)</f>
        <v>45748</v>
      </c>
      <c r="C397" s="2">
        <f t="shared" ref="C397:E397" si="894">IF(C$4-$A82&gt;=0,0,IF($A82&gt;C$3+C$4,0,C$15-C209-C272))</f>
        <v>0</v>
      </c>
      <c r="D397" s="2">
        <f t="shared" si="894"/>
        <v>0</v>
      </c>
      <c r="E397" s="2">
        <f t="shared" si="894"/>
        <v>0</v>
      </c>
      <c r="F397" s="2">
        <f t="shared" ref="F397:J397" si="895">IF(F$4-$A82&gt;=0,0,IF($A82&gt;F$3+F$4,0,F$15-F209-F272))</f>
        <v>0</v>
      </c>
      <c r="G397" s="2">
        <f t="shared" si="895"/>
        <v>0</v>
      </c>
      <c r="H397" s="2">
        <f t="shared" si="895"/>
        <v>0</v>
      </c>
      <c r="I397" s="2">
        <f t="shared" si="895"/>
        <v>0</v>
      </c>
      <c r="J397" s="2">
        <f t="shared" si="895"/>
        <v>0</v>
      </c>
      <c r="K397" s="2">
        <f t="shared" ref="K397:S397" si="896">IF(K$4-$A82&gt;=0,0,IF($A82&gt;K$3+K$4,0,K$15-K209-K272))</f>
        <v>346.52152453617845</v>
      </c>
      <c r="L397" s="2">
        <f t="shared" si="896"/>
        <v>0</v>
      </c>
      <c r="M397" s="2">
        <f t="shared" si="896"/>
        <v>0</v>
      </c>
      <c r="N397" s="2">
        <f t="shared" si="896"/>
        <v>0</v>
      </c>
      <c r="O397" s="2">
        <f t="shared" si="896"/>
        <v>0</v>
      </c>
      <c r="P397" s="2">
        <f t="shared" si="896"/>
        <v>0</v>
      </c>
      <c r="Q397" s="2">
        <f t="shared" si="896"/>
        <v>0</v>
      </c>
      <c r="R397" s="2">
        <f t="shared" si="896"/>
        <v>0</v>
      </c>
      <c r="S397" s="2">
        <f t="shared" si="896"/>
        <v>0</v>
      </c>
      <c r="T397" s="2">
        <f t="shared" ref="T397:U397" si="897">IF(T$4-$A82&gt;=0,0,IF($A82&gt;T$3+T$4,0,T$15-T209-T272))</f>
        <v>398.35143902182375</v>
      </c>
      <c r="U397" s="2">
        <f t="shared" si="897"/>
        <v>0</v>
      </c>
    </row>
    <row r="398" spans="1:21" x14ac:dyDescent="0.3">
      <c r="A398">
        <f t="shared" si="793"/>
        <v>28</v>
      </c>
      <c r="B398" s="1">
        <f>VLOOKUP(A398,dates!A:B,2,0)</f>
        <v>45778</v>
      </c>
      <c r="C398" s="2">
        <f t="shared" ref="C398:E398" si="898">IF(C$4-$A83&gt;=0,0,IF($A83&gt;C$3+C$4,0,C$15-C210-C273))</f>
        <v>0</v>
      </c>
      <c r="D398" s="2">
        <f t="shared" si="898"/>
        <v>0</v>
      </c>
      <c r="E398" s="2">
        <f t="shared" si="898"/>
        <v>0</v>
      </c>
      <c r="F398" s="2">
        <f t="shared" ref="F398:J398" si="899">IF(F$4-$A83&gt;=0,0,IF($A83&gt;F$3+F$4,0,F$15-F210-F273))</f>
        <v>0</v>
      </c>
      <c r="G398" s="2">
        <f t="shared" si="899"/>
        <v>0</v>
      </c>
      <c r="H398" s="2">
        <f t="shared" si="899"/>
        <v>0</v>
      </c>
      <c r="I398" s="2">
        <f t="shared" si="899"/>
        <v>0</v>
      </c>
      <c r="J398" s="2">
        <f t="shared" si="899"/>
        <v>0</v>
      </c>
      <c r="K398" s="2">
        <f t="shared" ref="K398:S398" si="900">IF(K$4-$A83&gt;=0,0,IF($A83&gt;K$3+K$4,0,K$15-K210-K273))</f>
        <v>347.56108910978702</v>
      </c>
      <c r="L398" s="2">
        <f t="shared" si="900"/>
        <v>0</v>
      </c>
      <c r="M398" s="2">
        <f t="shared" si="900"/>
        <v>0</v>
      </c>
      <c r="N398" s="2">
        <f t="shared" si="900"/>
        <v>0</v>
      </c>
      <c r="O398" s="2">
        <f t="shared" si="900"/>
        <v>0</v>
      </c>
      <c r="P398" s="2">
        <f t="shared" si="900"/>
        <v>0</v>
      </c>
      <c r="Q398" s="2">
        <f t="shared" si="900"/>
        <v>0</v>
      </c>
      <c r="R398" s="2">
        <f t="shared" si="900"/>
        <v>0</v>
      </c>
      <c r="S398" s="2">
        <f t="shared" si="900"/>
        <v>0</v>
      </c>
      <c r="T398" s="2">
        <f t="shared" ref="T398:U398" si="901">IF(T$4-$A83&gt;=0,0,IF($A83&gt;T$3+T$4,0,T$15-T210-T273))</f>
        <v>399.54649333888921</v>
      </c>
      <c r="U398" s="2">
        <f t="shared" si="901"/>
        <v>0</v>
      </c>
    </row>
    <row r="399" spans="1:21" x14ac:dyDescent="0.3">
      <c r="A399">
        <f t="shared" si="793"/>
        <v>29</v>
      </c>
      <c r="B399" s="1">
        <f>VLOOKUP(A399,dates!A:B,2,0)</f>
        <v>45809</v>
      </c>
      <c r="C399" s="2">
        <f t="shared" ref="C399:E399" si="902">IF(C$4-$A84&gt;=0,0,IF($A84&gt;C$3+C$4,0,C$15-C211-C274))</f>
        <v>0</v>
      </c>
      <c r="D399" s="2">
        <f t="shared" si="902"/>
        <v>0</v>
      </c>
      <c r="E399" s="2">
        <f t="shared" si="902"/>
        <v>0</v>
      </c>
      <c r="F399" s="2">
        <f t="shared" ref="F399:J399" si="903">IF(F$4-$A84&gt;=0,0,IF($A84&gt;F$3+F$4,0,F$15-F211-F274))</f>
        <v>0</v>
      </c>
      <c r="G399" s="2">
        <f t="shared" si="903"/>
        <v>0</v>
      </c>
      <c r="H399" s="2">
        <f t="shared" si="903"/>
        <v>0</v>
      </c>
      <c r="I399" s="2">
        <f t="shared" si="903"/>
        <v>0</v>
      </c>
      <c r="J399" s="2">
        <f t="shared" si="903"/>
        <v>0</v>
      </c>
      <c r="K399" s="2">
        <f t="shared" ref="K399:S399" si="904">IF(K$4-$A84&gt;=0,0,IF($A84&gt;K$3+K$4,0,K$15-K211-K274))</f>
        <v>348.6037723771164</v>
      </c>
      <c r="L399" s="2">
        <f t="shared" si="904"/>
        <v>0</v>
      </c>
      <c r="M399" s="2">
        <f t="shared" si="904"/>
        <v>0</v>
      </c>
      <c r="N399" s="2">
        <f t="shared" si="904"/>
        <v>0</v>
      </c>
      <c r="O399" s="2">
        <f t="shared" si="904"/>
        <v>0</v>
      </c>
      <c r="P399" s="2">
        <f t="shared" si="904"/>
        <v>0</v>
      </c>
      <c r="Q399" s="2">
        <f t="shared" si="904"/>
        <v>0</v>
      </c>
      <c r="R399" s="2">
        <f t="shared" si="904"/>
        <v>0</v>
      </c>
      <c r="S399" s="2">
        <f t="shared" si="904"/>
        <v>0</v>
      </c>
      <c r="T399" s="2">
        <f t="shared" ref="T399:U399" si="905">IF(T$4-$A84&gt;=0,0,IF($A84&gt;T$3+T$4,0,T$15-T211-T274))</f>
        <v>400.74513281890592</v>
      </c>
      <c r="U399" s="2">
        <f t="shared" si="905"/>
        <v>0</v>
      </c>
    </row>
    <row r="400" spans="1:21" x14ac:dyDescent="0.3">
      <c r="A400">
        <f t="shared" si="793"/>
        <v>30</v>
      </c>
      <c r="B400" s="1">
        <f>VLOOKUP(A400,dates!A:B,2,0)</f>
        <v>45839</v>
      </c>
      <c r="C400" s="2">
        <f t="shared" ref="C400:E400" si="906">IF(C$4-$A85&gt;=0,0,IF($A85&gt;C$3+C$4,0,C$15-C212-C275))</f>
        <v>0</v>
      </c>
      <c r="D400" s="2">
        <f t="shared" si="906"/>
        <v>0</v>
      </c>
      <c r="E400" s="2">
        <f t="shared" si="906"/>
        <v>0</v>
      </c>
      <c r="F400" s="2">
        <f t="shared" ref="F400:J400" si="907">IF(F$4-$A85&gt;=0,0,IF($A85&gt;F$3+F$4,0,F$15-F212-F275))</f>
        <v>0</v>
      </c>
      <c r="G400" s="2">
        <f t="shared" si="907"/>
        <v>0</v>
      </c>
      <c r="H400" s="2">
        <f t="shared" si="907"/>
        <v>0</v>
      </c>
      <c r="I400" s="2">
        <f t="shared" si="907"/>
        <v>0</v>
      </c>
      <c r="J400" s="2">
        <f t="shared" si="907"/>
        <v>0</v>
      </c>
      <c r="K400" s="2">
        <f t="shared" ref="K400:S400" si="908">IF(K$4-$A85&gt;=0,0,IF($A85&gt;K$3+K$4,0,K$15-K212-K275))</f>
        <v>349.64958369424772</v>
      </c>
      <c r="L400" s="2">
        <f t="shared" si="908"/>
        <v>0</v>
      </c>
      <c r="M400" s="2">
        <f t="shared" si="908"/>
        <v>0</v>
      </c>
      <c r="N400" s="2">
        <f t="shared" si="908"/>
        <v>0</v>
      </c>
      <c r="O400" s="2">
        <f t="shared" si="908"/>
        <v>0</v>
      </c>
      <c r="P400" s="2">
        <f t="shared" si="908"/>
        <v>0</v>
      </c>
      <c r="Q400" s="2">
        <f t="shared" si="908"/>
        <v>0</v>
      </c>
      <c r="R400" s="2">
        <f t="shared" si="908"/>
        <v>0</v>
      </c>
      <c r="S400" s="2">
        <f t="shared" si="908"/>
        <v>0</v>
      </c>
      <c r="T400" s="2">
        <f t="shared" ref="T400:U400" si="909">IF(T$4-$A85&gt;=0,0,IF($A85&gt;T$3+T$4,0,T$15-T212-T275))</f>
        <v>401.94736821736268</v>
      </c>
      <c r="U400" s="2">
        <f t="shared" si="909"/>
        <v>0</v>
      </c>
    </row>
    <row r="401" spans="1:21" x14ac:dyDescent="0.3">
      <c r="A401">
        <f t="shared" si="793"/>
        <v>31</v>
      </c>
      <c r="B401" s="1">
        <f>VLOOKUP(A401,dates!A:B,2,0)</f>
        <v>45870</v>
      </c>
      <c r="C401" s="2">
        <f t="shared" ref="C401:E401" si="910">IF(C$4-$A86&gt;=0,0,IF($A86&gt;C$3+C$4,0,C$15-C213-C276))</f>
        <v>0</v>
      </c>
      <c r="D401" s="2">
        <f t="shared" si="910"/>
        <v>0</v>
      </c>
      <c r="E401" s="2">
        <f t="shared" si="910"/>
        <v>0</v>
      </c>
      <c r="F401" s="2">
        <f t="shared" ref="F401:J401" si="911">IF(F$4-$A86&gt;=0,0,IF($A86&gt;F$3+F$4,0,F$15-F213-F276))</f>
        <v>0</v>
      </c>
      <c r="G401" s="2">
        <f t="shared" si="911"/>
        <v>0</v>
      </c>
      <c r="H401" s="2">
        <f t="shared" si="911"/>
        <v>0</v>
      </c>
      <c r="I401" s="2">
        <f t="shared" si="911"/>
        <v>0</v>
      </c>
      <c r="J401" s="2">
        <f t="shared" si="911"/>
        <v>0</v>
      </c>
      <c r="K401" s="2">
        <f t="shared" ref="K401:S401" si="912">IF(K$4-$A86&gt;=0,0,IF($A86&gt;K$3+K$4,0,K$15-K213-K276))</f>
        <v>350.6985324453305</v>
      </c>
      <c r="L401" s="2">
        <f t="shared" si="912"/>
        <v>0</v>
      </c>
      <c r="M401" s="2">
        <f t="shared" si="912"/>
        <v>0</v>
      </c>
      <c r="N401" s="2">
        <f t="shared" si="912"/>
        <v>0</v>
      </c>
      <c r="O401" s="2">
        <f t="shared" si="912"/>
        <v>0</v>
      </c>
      <c r="P401" s="2">
        <f t="shared" si="912"/>
        <v>0</v>
      </c>
      <c r="Q401" s="2">
        <f t="shared" si="912"/>
        <v>0</v>
      </c>
      <c r="R401" s="2">
        <f t="shared" si="912"/>
        <v>0</v>
      </c>
      <c r="S401" s="2">
        <f t="shared" si="912"/>
        <v>0</v>
      </c>
      <c r="T401" s="2">
        <f t="shared" ref="T401:U401" si="913">IF(T$4-$A86&gt;=0,0,IF($A86&gt;T$3+T$4,0,T$15-T213-T276))</f>
        <v>403.15321032201467</v>
      </c>
      <c r="U401" s="2">
        <f t="shared" si="913"/>
        <v>0</v>
      </c>
    </row>
    <row r="402" spans="1:21" x14ac:dyDescent="0.3">
      <c r="A402">
        <f t="shared" si="793"/>
        <v>32</v>
      </c>
      <c r="B402" s="1">
        <f>VLOOKUP(A402,dates!A:B,2,0)</f>
        <v>45901</v>
      </c>
      <c r="C402" s="2">
        <f t="shared" ref="C402:E402" si="914">IF(C$4-$A87&gt;=0,0,IF($A87&gt;C$3+C$4,0,C$15-C214-C277))</f>
        <v>0</v>
      </c>
      <c r="D402" s="2">
        <f t="shared" si="914"/>
        <v>0</v>
      </c>
      <c r="E402" s="2">
        <f t="shared" si="914"/>
        <v>0</v>
      </c>
      <c r="F402" s="2">
        <f t="shared" ref="F402:J402" si="915">IF(F$4-$A87&gt;=0,0,IF($A87&gt;F$3+F$4,0,F$15-F214-F277))</f>
        <v>0</v>
      </c>
      <c r="G402" s="2">
        <f t="shared" si="915"/>
        <v>0</v>
      </c>
      <c r="H402" s="2">
        <f t="shared" si="915"/>
        <v>0</v>
      </c>
      <c r="I402" s="2">
        <f t="shared" si="915"/>
        <v>0</v>
      </c>
      <c r="J402" s="2">
        <f t="shared" si="915"/>
        <v>0</v>
      </c>
      <c r="K402" s="2">
        <f t="shared" ref="K402:S402" si="916">IF(K$4-$A87&gt;=0,0,IF($A87&gt;K$3+K$4,0,K$15-K214-K277))</f>
        <v>351.75062804266651</v>
      </c>
      <c r="L402" s="2">
        <f t="shared" si="916"/>
        <v>0</v>
      </c>
      <c r="M402" s="2">
        <f t="shared" si="916"/>
        <v>0</v>
      </c>
      <c r="N402" s="2">
        <f t="shared" si="916"/>
        <v>0</v>
      </c>
      <c r="O402" s="2">
        <f t="shared" si="916"/>
        <v>0</v>
      </c>
      <c r="P402" s="2">
        <f t="shared" si="916"/>
        <v>0</v>
      </c>
      <c r="Q402" s="2">
        <f t="shared" si="916"/>
        <v>0</v>
      </c>
      <c r="R402" s="2">
        <f t="shared" si="916"/>
        <v>0</v>
      </c>
      <c r="S402" s="2">
        <f t="shared" si="916"/>
        <v>0</v>
      </c>
      <c r="T402" s="2">
        <f t="shared" ref="T402:U402" si="917">IF(T$4-$A87&gt;=0,0,IF($A87&gt;T$3+T$4,0,T$15-T214-T277))</f>
        <v>404.36266995298075</v>
      </c>
      <c r="U402" s="2">
        <f t="shared" si="917"/>
        <v>0</v>
      </c>
    </row>
    <row r="403" spans="1:21" x14ac:dyDescent="0.3">
      <c r="A403">
        <f t="shared" si="793"/>
        <v>33</v>
      </c>
      <c r="B403" s="1">
        <f>VLOOKUP(A403,dates!A:B,2,0)</f>
        <v>45931</v>
      </c>
      <c r="C403" s="2">
        <f t="shared" ref="C403:E403" si="918">IF(C$4-$A88&gt;=0,0,IF($A88&gt;C$3+C$4,0,C$15-C215-C278))</f>
        <v>0</v>
      </c>
      <c r="D403" s="2">
        <f t="shared" si="918"/>
        <v>0</v>
      </c>
      <c r="E403" s="2">
        <f t="shared" si="918"/>
        <v>0</v>
      </c>
      <c r="F403" s="2">
        <f t="shared" ref="F403:J403" si="919">IF(F$4-$A88&gt;=0,0,IF($A88&gt;F$3+F$4,0,F$15-F215-F278))</f>
        <v>0</v>
      </c>
      <c r="G403" s="2">
        <f t="shared" si="919"/>
        <v>0</v>
      </c>
      <c r="H403" s="2">
        <f t="shared" si="919"/>
        <v>0</v>
      </c>
      <c r="I403" s="2">
        <f t="shared" si="919"/>
        <v>0</v>
      </c>
      <c r="J403" s="2">
        <f t="shared" si="919"/>
        <v>0</v>
      </c>
      <c r="K403" s="2">
        <f t="shared" ref="K403:S403" si="920">IF(K$4-$A88&gt;=0,0,IF($A88&gt;K$3+K$4,0,K$15-K215-K278))</f>
        <v>352.80587992679449</v>
      </c>
      <c r="L403" s="2">
        <f t="shared" si="920"/>
        <v>0</v>
      </c>
      <c r="M403" s="2">
        <f t="shared" si="920"/>
        <v>0</v>
      </c>
      <c r="N403" s="2">
        <f t="shared" si="920"/>
        <v>0</v>
      </c>
      <c r="O403" s="2">
        <f t="shared" si="920"/>
        <v>0</v>
      </c>
      <c r="P403" s="2">
        <f t="shared" si="920"/>
        <v>0</v>
      </c>
      <c r="Q403" s="2">
        <f t="shared" si="920"/>
        <v>0</v>
      </c>
      <c r="R403" s="2">
        <f t="shared" si="920"/>
        <v>0</v>
      </c>
      <c r="S403" s="2">
        <f t="shared" si="920"/>
        <v>0</v>
      </c>
      <c r="T403" s="2">
        <f t="shared" ref="T403:U403" si="921">IF(T$4-$A88&gt;=0,0,IF($A88&gt;T$3+T$4,0,T$15-T215-T278))</f>
        <v>405.57575796283976</v>
      </c>
      <c r="U403" s="2">
        <f t="shared" si="921"/>
        <v>0</v>
      </c>
    </row>
    <row r="404" spans="1:21" x14ac:dyDescent="0.3">
      <c r="A404">
        <f t="shared" si="793"/>
        <v>34</v>
      </c>
      <c r="B404" s="1">
        <f>VLOOKUP(A404,dates!A:B,2,0)</f>
        <v>45962</v>
      </c>
      <c r="C404" s="2">
        <f t="shared" ref="C404:E404" si="922">IF(C$4-$A89&gt;=0,0,IF($A89&gt;C$3+C$4,0,C$15-C216-C279))</f>
        <v>0</v>
      </c>
      <c r="D404" s="2">
        <f t="shared" si="922"/>
        <v>0</v>
      </c>
      <c r="E404" s="2">
        <f t="shared" si="922"/>
        <v>0</v>
      </c>
      <c r="F404" s="2">
        <f t="shared" ref="F404:J404" si="923">IF(F$4-$A89&gt;=0,0,IF($A89&gt;F$3+F$4,0,F$15-F216-F279))</f>
        <v>0</v>
      </c>
      <c r="G404" s="2">
        <f t="shared" si="923"/>
        <v>0</v>
      </c>
      <c r="H404" s="2">
        <f t="shared" si="923"/>
        <v>0</v>
      </c>
      <c r="I404" s="2">
        <f t="shared" si="923"/>
        <v>0</v>
      </c>
      <c r="J404" s="2">
        <f t="shared" si="923"/>
        <v>0</v>
      </c>
      <c r="K404" s="2">
        <f t="shared" ref="K404:S404" si="924">IF(K$4-$A89&gt;=0,0,IF($A89&gt;K$3+K$4,0,K$15-K216-K279))</f>
        <v>353.86429756657486</v>
      </c>
      <c r="L404" s="2">
        <f t="shared" si="924"/>
        <v>0</v>
      </c>
      <c r="M404" s="2">
        <f t="shared" si="924"/>
        <v>0</v>
      </c>
      <c r="N404" s="2">
        <f t="shared" si="924"/>
        <v>0</v>
      </c>
      <c r="O404" s="2">
        <f t="shared" si="924"/>
        <v>0</v>
      </c>
      <c r="P404" s="2">
        <f t="shared" si="924"/>
        <v>0</v>
      </c>
      <c r="Q404" s="2">
        <f t="shared" si="924"/>
        <v>0</v>
      </c>
      <c r="R404" s="2">
        <f t="shared" si="924"/>
        <v>0</v>
      </c>
      <c r="S404" s="2">
        <f t="shared" si="924"/>
        <v>0</v>
      </c>
      <c r="T404" s="2">
        <f t="shared" ref="T404:U404" si="925">IF(T$4-$A89&gt;=0,0,IF($A89&gt;T$3+T$4,0,T$15-T216-T279))</f>
        <v>406.79248523672823</v>
      </c>
      <c r="U404" s="2">
        <f t="shared" si="925"/>
        <v>0</v>
      </c>
    </row>
    <row r="405" spans="1:21" x14ac:dyDescent="0.3">
      <c r="A405">
        <f t="shared" si="793"/>
        <v>35</v>
      </c>
      <c r="B405" s="1">
        <f>VLOOKUP(A405,dates!A:B,2,0)</f>
        <v>45992</v>
      </c>
      <c r="C405" s="2">
        <f t="shared" ref="C405:E405" si="926">IF(C$4-$A90&gt;=0,0,IF($A90&gt;C$3+C$4,0,C$15-C217-C280))</f>
        <v>0</v>
      </c>
      <c r="D405" s="2">
        <f t="shared" si="926"/>
        <v>0</v>
      </c>
      <c r="E405" s="2">
        <f t="shared" si="926"/>
        <v>0</v>
      </c>
      <c r="F405" s="2">
        <f t="shared" ref="F405:J405" si="927">IF(F$4-$A90&gt;=0,0,IF($A90&gt;F$3+F$4,0,F$15-F217-F280))</f>
        <v>0</v>
      </c>
      <c r="G405" s="2">
        <f t="shared" si="927"/>
        <v>0</v>
      </c>
      <c r="H405" s="2">
        <f t="shared" si="927"/>
        <v>0</v>
      </c>
      <c r="I405" s="2">
        <f t="shared" si="927"/>
        <v>0</v>
      </c>
      <c r="J405" s="2">
        <f t="shared" si="927"/>
        <v>0</v>
      </c>
      <c r="K405" s="2">
        <f t="shared" ref="K405:S405" si="928">IF(K$4-$A90&gt;=0,0,IF($A90&gt;K$3+K$4,0,K$15-K217-K280))</f>
        <v>354.92589045927463</v>
      </c>
      <c r="L405" s="2">
        <f t="shared" si="928"/>
        <v>0</v>
      </c>
      <c r="M405" s="2">
        <f t="shared" si="928"/>
        <v>0</v>
      </c>
      <c r="N405" s="2">
        <f t="shared" si="928"/>
        <v>0</v>
      </c>
      <c r="O405" s="2">
        <f t="shared" si="928"/>
        <v>0</v>
      </c>
      <c r="P405" s="2">
        <f t="shared" si="928"/>
        <v>0</v>
      </c>
      <c r="Q405" s="2">
        <f t="shared" si="928"/>
        <v>0</v>
      </c>
      <c r="R405" s="2">
        <f t="shared" si="928"/>
        <v>0</v>
      </c>
      <c r="S405" s="2">
        <f t="shared" si="928"/>
        <v>0</v>
      </c>
      <c r="T405" s="2">
        <f t="shared" ref="T405:U405" si="929">IF(T$4-$A90&gt;=0,0,IF($A90&gt;T$3+T$4,0,T$15-T217-T280))</f>
        <v>408.01286269243843</v>
      </c>
      <c r="U405" s="2">
        <f t="shared" si="929"/>
        <v>0</v>
      </c>
    </row>
    <row r="406" spans="1:21" x14ac:dyDescent="0.3">
      <c r="A406">
        <f t="shared" si="793"/>
        <v>36</v>
      </c>
      <c r="B406" s="1">
        <f>VLOOKUP(A406,dates!A:B,2,0)</f>
        <v>46023</v>
      </c>
      <c r="C406" s="2">
        <f t="shared" ref="C406:E406" si="930">IF(C$4-$A91&gt;=0,0,IF($A91&gt;C$3+C$4,0,C$15-C218-C281))</f>
        <v>0</v>
      </c>
      <c r="D406" s="2">
        <f t="shared" si="930"/>
        <v>0</v>
      </c>
      <c r="E406" s="2">
        <f t="shared" si="930"/>
        <v>0</v>
      </c>
      <c r="F406" s="2">
        <f t="shared" ref="F406:J406" si="931">IF(F$4-$A91&gt;=0,0,IF($A91&gt;F$3+F$4,0,F$15-F218-F281))</f>
        <v>0</v>
      </c>
      <c r="G406" s="2">
        <f t="shared" si="931"/>
        <v>0</v>
      </c>
      <c r="H406" s="2">
        <f t="shared" si="931"/>
        <v>0</v>
      </c>
      <c r="I406" s="2">
        <f t="shared" si="931"/>
        <v>0</v>
      </c>
      <c r="J406" s="2">
        <f t="shared" si="931"/>
        <v>0</v>
      </c>
      <c r="K406" s="2">
        <f t="shared" ref="K406:S406" si="932">IF(K$4-$A91&gt;=0,0,IF($A91&gt;K$3+K$4,0,K$15-K218-K281))</f>
        <v>349.59871528327545</v>
      </c>
      <c r="L406" s="2">
        <f t="shared" si="932"/>
        <v>0</v>
      </c>
      <c r="M406" s="2">
        <f t="shared" si="932"/>
        <v>0</v>
      </c>
      <c r="N406" s="2">
        <f t="shared" si="932"/>
        <v>0</v>
      </c>
      <c r="O406" s="2">
        <f t="shared" si="932"/>
        <v>0</v>
      </c>
      <c r="P406" s="2">
        <f t="shared" si="932"/>
        <v>0</v>
      </c>
      <c r="Q406" s="2">
        <f t="shared" si="932"/>
        <v>0</v>
      </c>
      <c r="R406" s="2">
        <f t="shared" si="932"/>
        <v>0</v>
      </c>
      <c r="S406" s="2">
        <f t="shared" si="932"/>
        <v>0</v>
      </c>
      <c r="T406" s="2">
        <f t="shared" ref="T406:U406" si="933">IF(T$4-$A91&gt;=0,0,IF($A91&gt;T$3+T$4,0,T$15-T218-T281))</f>
        <v>397.40173157505222</v>
      </c>
      <c r="U406" s="2">
        <f t="shared" si="933"/>
        <v>0</v>
      </c>
    </row>
    <row r="407" spans="1:21" x14ac:dyDescent="0.3">
      <c r="A407">
        <f t="shared" si="793"/>
        <v>37</v>
      </c>
      <c r="B407" s="1">
        <f>VLOOKUP(A407,dates!A:B,2,0)</f>
        <v>46054</v>
      </c>
      <c r="C407" s="2">
        <f t="shared" ref="C407:E407" si="934">IF(C$4-$A92&gt;=0,0,IF($A92&gt;C$3+C$4,0,C$15-C219-C282))</f>
        <v>0</v>
      </c>
      <c r="D407" s="2">
        <f t="shared" si="934"/>
        <v>0</v>
      </c>
      <c r="E407" s="2">
        <f t="shared" si="934"/>
        <v>0</v>
      </c>
      <c r="F407" s="2">
        <f t="shared" ref="F407:J407" si="935">IF(F$4-$A92&gt;=0,0,IF($A92&gt;F$3+F$4,0,F$15-F219-F282))</f>
        <v>0</v>
      </c>
      <c r="G407" s="2">
        <f t="shared" si="935"/>
        <v>0</v>
      </c>
      <c r="H407" s="2">
        <f t="shared" si="935"/>
        <v>0</v>
      </c>
      <c r="I407" s="2">
        <f t="shared" si="935"/>
        <v>0</v>
      </c>
      <c r="J407" s="2">
        <f t="shared" si="935"/>
        <v>0</v>
      </c>
      <c r="K407" s="2">
        <f t="shared" ref="K407:S407" si="936">IF(K$4-$A92&gt;=0,0,IF($A92&gt;K$3+K$4,0,K$15-K219-K282))</f>
        <v>0</v>
      </c>
      <c r="L407" s="2">
        <f t="shared" si="936"/>
        <v>0</v>
      </c>
      <c r="M407" s="2">
        <f t="shared" si="936"/>
        <v>0</v>
      </c>
      <c r="N407" s="2">
        <f t="shared" si="936"/>
        <v>0</v>
      </c>
      <c r="O407" s="2">
        <f t="shared" si="936"/>
        <v>0</v>
      </c>
      <c r="P407" s="2">
        <f t="shared" si="936"/>
        <v>0</v>
      </c>
      <c r="Q407" s="2">
        <f t="shared" si="936"/>
        <v>0</v>
      </c>
      <c r="R407" s="2">
        <f t="shared" si="936"/>
        <v>0</v>
      </c>
      <c r="S407" s="2">
        <f t="shared" si="936"/>
        <v>0</v>
      </c>
      <c r="T407" s="2">
        <f t="shared" ref="T407:U407" si="937">IF(T$4-$A92&gt;=0,0,IF($A92&gt;T$3+T$4,0,T$15-T219-T282))</f>
        <v>0</v>
      </c>
      <c r="U407" s="2">
        <f t="shared" si="937"/>
        <v>0</v>
      </c>
    </row>
    <row r="408" spans="1:21" x14ac:dyDescent="0.3">
      <c r="A408">
        <f t="shared" si="793"/>
        <v>38</v>
      </c>
      <c r="B408" s="1">
        <f>VLOOKUP(A408,dates!A:B,2,0)</f>
        <v>46082</v>
      </c>
      <c r="C408" s="2">
        <f t="shared" ref="C408:E408" si="938">IF(C$4-$A93&gt;=0,0,IF($A93&gt;C$3+C$4,0,C$15-C220-C283))</f>
        <v>0</v>
      </c>
      <c r="D408" s="2">
        <f t="shared" si="938"/>
        <v>0</v>
      </c>
      <c r="E408" s="2">
        <f t="shared" si="938"/>
        <v>0</v>
      </c>
      <c r="F408" s="2">
        <f t="shared" ref="F408:J408" si="939">IF(F$4-$A93&gt;=0,0,IF($A93&gt;F$3+F$4,0,F$15-F220-F283))</f>
        <v>0</v>
      </c>
      <c r="G408" s="2">
        <f t="shared" si="939"/>
        <v>0</v>
      </c>
      <c r="H408" s="2">
        <f t="shared" si="939"/>
        <v>0</v>
      </c>
      <c r="I408" s="2">
        <f t="shared" si="939"/>
        <v>0</v>
      </c>
      <c r="J408" s="2">
        <f t="shared" si="939"/>
        <v>0</v>
      </c>
      <c r="K408" s="2">
        <f t="shared" ref="K408:S408" si="940">IF(K$4-$A93&gt;=0,0,IF($A93&gt;K$3+K$4,0,K$15-K220-K283))</f>
        <v>0</v>
      </c>
      <c r="L408" s="2">
        <f t="shared" si="940"/>
        <v>0</v>
      </c>
      <c r="M408" s="2">
        <f t="shared" si="940"/>
        <v>0</v>
      </c>
      <c r="N408" s="2">
        <f t="shared" si="940"/>
        <v>0</v>
      </c>
      <c r="O408" s="2">
        <f t="shared" si="940"/>
        <v>0</v>
      </c>
      <c r="P408" s="2">
        <f t="shared" si="940"/>
        <v>0</v>
      </c>
      <c r="Q408" s="2">
        <f t="shared" si="940"/>
        <v>0</v>
      </c>
      <c r="R408" s="2">
        <f t="shared" si="940"/>
        <v>0</v>
      </c>
      <c r="S408" s="2">
        <f t="shared" si="940"/>
        <v>0</v>
      </c>
      <c r="T408" s="2">
        <f t="shared" ref="T408:U408" si="941">IF(T$4-$A93&gt;=0,0,IF($A93&gt;T$3+T$4,0,T$15-T220-T283))</f>
        <v>0</v>
      </c>
      <c r="U408" s="2">
        <f t="shared" si="941"/>
        <v>0</v>
      </c>
    </row>
    <row r="409" spans="1:21" x14ac:dyDescent="0.3">
      <c r="A409">
        <f t="shared" si="793"/>
        <v>39</v>
      </c>
      <c r="B409" s="1">
        <f>VLOOKUP(A409,dates!A:B,2,0)</f>
        <v>46113</v>
      </c>
      <c r="C409" s="2">
        <f t="shared" ref="C409:E409" si="942">IF(C$4-$A94&gt;=0,0,IF($A94&gt;C$3+C$4,0,C$15-C221-C284))</f>
        <v>0</v>
      </c>
      <c r="D409" s="2">
        <f t="shared" si="942"/>
        <v>0</v>
      </c>
      <c r="E409" s="2">
        <f t="shared" si="942"/>
        <v>0</v>
      </c>
      <c r="F409" s="2">
        <f t="shared" ref="F409:J409" si="943">IF(F$4-$A94&gt;=0,0,IF($A94&gt;F$3+F$4,0,F$15-F221-F284))</f>
        <v>0</v>
      </c>
      <c r="G409" s="2">
        <f t="shared" si="943"/>
        <v>0</v>
      </c>
      <c r="H409" s="2">
        <f t="shared" si="943"/>
        <v>0</v>
      </c>
      <c r="I409" s="2">
        <f t="shared" si="943"/>
        <v>0</v>
      </c>
      <c r="J409" s="2">
        <f t="shared" si="943"/>
        <v>0</v>
      </c>
      <c r="K409" s="2">
        <f t="shared" ref="K409:S409" si="944">IF(K$4-$A94&gt;=0,0,IF($A94&gt;K$3+K$4,0,K$15-K221-K284))</f>
        <v>0</v>
      </c>
      <c r="L409" s="2">
        <f t="shared" si="944"/>
        <v>0</v>
      </c>
      <c r="M409" s="2">
        <f t="shared" si="944"/>
        <v>0</v>
      </c>
      <c r="N409" s="2">
        <f t="shared" si="944"/>
        <v>0</v>
      </c>
      <c r="O409" s="2">
        <f t="shared" si="944"/>
        <v>0</v>
      </c>
      <c r="P409" s="2">
        <f t="shared" si="944"/>
        <v>0</v>
      </c>
      <c r="Q409" s="2">
        <f t="shared" si="944"/>
        <v>0</v>
      </c>
      <c r="R409" s="2">
        <f t="shared" si="944"/>
        <v>0</v>
      </c>
      <c r="S409" s="2">
        <f t="shared" si="944"/>
        <v>0</v>
      </c>
      <c r="T409" s="2">
        <f t="shared" ref="T409:U409" si="945">IF(T$4-$A94&gt;=0,0,IF($A94&gt;T$3+T$4,0,T$15-T221-T284))</f>
        <v>0</v>
      </c>
      <c r="U409" s="2">
        <f t="shared" si="945"/>
        <v>0</v>
      </c>
    </row>
    <row r="410" spans="1:21" x14ac:dyDescent="0.3">
      <c r="A410">
        <f t="shared" si="793"/>
        <v>40</v>
      </c>
      <c r="B410" s="1">
        <f>VLOOKUP(A410,dates!A:B,2,0)</f>
        <v>46143</v>
      </c>
      <c r="C410" s="2">
        <f t="shared" ref="C410:E410" si="946">IF(C$4-$A95&gt;=0,0,IF($A95&gt;C$3+C$4,0,C$15-C222-C285))</f>
        <v>0</v>
      </c>
      <c r="D410" s="2">
        <f t="shared" si="946"/>
        <v>0</v>
      </c>
      <c r="E410" s="2">
        <f t="shared" si="946"/>
        <v>0</v>
      </c>
      <c r="F410" s="2">
        <f t="shared" ref="F410:J410" si="947">IF(F$4-$A95&gt;=0,0,IF($A95&gt;F$3+F$4,0,F$15-F222-F285))</f>
        <v>0</v>
      </c>
      <c r="G410" s="2">
        <f t="shared" si="947"/>
        <v>0</v>
      </c>
      <c r="H410" s="2">
        <f t="shared" si="947"/>
        <v>0</v>
      </c>
      <c r="I410" s="2">
        <f t="shared" si="947"/>
        <v>0</v>
      </c>
      <c r="J410" s="2">
        <f t="shared" si="947"/>
        <v>0</v>
      </c>
      <c r="K410" s="2">
        <f t="shared" ref="K410:S410" si="948">IF(K$4-$A95&gt;=0,0,IF($A95&gt;K$3+K$4,0,K$15-K222-K285))</f>
        <v>0</v>
      </c>
      <c r="L410" s="2">
        <f t="shared" si="948"/>
        <v>0</v>
      </c>
      <c r="M410" s="2">
        <f t="shared" si="948"/>
        <v>0</v>
      </c>
      <c r="N410" s="2">
        <f t="shared" si="948"/>
        <v>0</v>
      </c>
      <c r="O410" s="2">
        <f t="shared" si="948"/>
        <v>0</v>
      </c>
      <c r="P410" s="2">
        <f t="shared" si="948"/>
        <v>0</v>
      </c>
      <c r="Q410" s="2">
        <f t="shared" si="948"/>
        <v>0</v>
      </c>
      <c r="R410" s="2">
        <f t="shared" si="948"/>
        <v>0</v>
      </c>
      <c r="S410" s="2">
        <f t="shared" si="948"/>
        <v>0</v>
      </c>
      <c r="T410" s="2">
        <f t="shared" ref="T410:U410" si="949">IF(T$4-$A95&gt;=0,0,IF($A95&gt;T$3+T$4,0,T$15-T222-T285))</f>
        <v>0</v>
      </c>
      <c r="U410" s="2">
        <f t="shared" si="949"/>
        <v>0</v>
      </c>
    </row>
    <row r="411" spans="1:21" x14ac:dyDescent="0.3">
      <c r="A411">
        <f t="shared" si="793"/>
        <v>41</v>
      </c>
      <c r="B411" s="1">
        <f>VLOOKUP(A411,dates!A:B,2,0)</f>
        <v>46174</v>
      </c>
      <c r="C411" s="2">
        <f t="shared" ref="C411:E411" si="950">IF(C$4-$A96&gt;=0,0,IF($A96&gt;C$3+C$4,0,C$15-C223-C286))</f>
        <v>0</v>
      </c>
      <c r="D411" s="2">
        <f t="shared" si="950"/>
        <v>0</v>
      </c>
      <c r="E411" s="2">
        <f t="shared" si="950"/>
        <v>0</v>
      </c>
      <c r="F411" s="2">
        <f t="shared" ref="F411:J411" si="951">IF(F$4-$A96&gt;=0,0,IF($A96&gt;F$3+F$4,0,F$15-F223-F286))</f>
        <v>0</v>
      </c>
      <c r="G411" s="2">
        <f t="shared" si="951"/>
        <v>0</v>
      </c>
      <c r="H411" s="2">
        <f t="shared" si="951"/>
        <v>0</v>
      </c>
      <c r="I411" s="2">
        <f t="shared" si="951"/>
        <v>0</v>
      </c>
      <c r="J411" s="2">
        <f t="shared" si="951"/>
        <v>0</v>
      </c>
      <c r="K411" s="2">
        <f t="shared" ref="K411:S411" si="952">IF(K$4-$A96&gt;=0,0,IF($A96&gt;K$3+K$4,0,K$15-K223-K286))</f>
        <v>0</v>
      </c>
      <c r="L411" s="2">
        <f t="shared" si="952"/>
        <v>0</v>
      </c>
      <c r="M411" s="2">
        <f t="shared" si="952"/>
        <v>0</v>
      </c>
      <c r="N411" s="2">
        <f t="shared" si="952"/>
        <v>0</v>
      </c>
      <c r="O411" s="2">
        <f t="shared" si="952"/>
        <v>0</v>
      </c>
      <c r="P411" s="2">
        <f t="shared" si="952"/>
        <v>0</v>
      </c>
      <c r="Q411" s="2">
        <f t="shared" si="952"/>
        <v>0</v>
      </c>
      <c r="R411" s="2">
        <f t="shared" si="952"/>
        <v>0</v>
      </c>
      <c r="S411" s="2">
        <f t="shared" si="952"/>
        <v>0</v>
      </c>
      <c r="T411" s="2">
        <f t="shared" ref="T411:U411" si="953">IF(T$4-$A96&gt;=0,0,IF($A96&gt;T$3+T$4,0,T$15-T223-T286))</f>
        <v>0</v>
      </c>
      <c r="U411" s="2">
        <f t="shared" si="953"/>
        <v>0</v>
      </c>
    </row>
    <row r="412" spans="1:21" x14ac:dyDescent="0.3">
      <c r="A412">
        <f t="shared" si="793"/>
        <v>42</v>
      </c>
      <c r="B412" s="1">
        <f>VLOOKUP(A412,dates!A:B,2,0)</f>
        <v>46204</v>
      </c>
      <c r="C412" s="2">
        <f t="shared" ref="C412:E412" si="954">IF(C$4-$A97&gt;=0,0,IF($A97&gt;C$3+C$4,0,C$15-C224-C287))</f>
        <v>0</v>
      </c>
      <c r="D412" s="2">
        <f t="shared" si="954"/>
        <v>0</v>
      </c>
      <c r="E412" s="2">
        <f t="shared" si="954"/>
        <v>0</v>
      </c>
      <c r="F412" s="2">
        <f t="shared" ref="F412:J412" si="955">IF(F$4-$A97&gt;=0,0,IF($A97&gt;F$3+F$4,0,F$15-F224-F287))</f>
        <v>0</v>
      </c>
      <c r="G412" s="2">
        <f t="shared" si="955"/>
        <v>0</v>
      </c>
      <c r="H412" s="2">
        <f t="shared" si="955"/>
        <v>0</v>
      </c>
      <c r="I412" s="2">
        <f t="shared" si="955"/>
        <v>0</v>
      </c>
      <c r="J412" s="2">
        <f t="shared" si="955"/>
        <v>0</v>
      </c>
      <c r="K412" s="2">
        <f t="shared" ref="K412:S412" si="956">IF(K$4-$A97&gt;=0,0,IF($A97&gt;K$3+K$4,0,K$15-K224-K287))</f>
        <v>0</v>
      </c>
      <c r="L412" s="2">
        <f t="shared" si="956"/>
        <v>0</v>
      </c>
      <c r="M412" s="2">
        <f t="shared" si="956"/>
        <v>0</v>
      </c>
      <c r="N412" s="2">
        <f t="shared" si="956"/>
        <v>0</v>
      </c>
      <c r="O412" s="2">
        <f t="shared" si="956"/>
        <v>0</v>
      </c>
      <c r="P412" s="2">
        <f t="shared" si="956"/>
        <v>0</v>
      </c>
      <c r="Q412" s="2">
        <f t="shared" si="956"/>
        <v>0</v>
      </c>
      <c r="R412" s="2">
        <f t="shared" si="956"/>
        <v>0</v>
      </c>
      <c r="S412" s="2">
        <f t="shared" si="956"/>
        <v>0</v>
      </c>
      <c r="T412" s="2">
        <f t="shared" ref="T412:U412" si="957">IF(T$4-$A97&gt;=0,0,IF($A97&gt;T$3+T$4,0,T$15-T224-T287))</f>
        <v>0</v>
      </c>
      <c r="U412" s="2">
        <f t="shared" si="957"/>
        <v>0</v>
      </c>
    </row>
    <row r="413" spans="1:21" x14ac:dyDescent="0.3">
      <c r="A413">
        <f t="shared" si="793"/>
        <v>43</v>
      </c>
      <c r="B413" s="1">
        <f>VLOOKUP(A413,dates!A:B,2,0)</f>
        <v>46235</v>
      </c>
      <c r="C413" s="2">
        <f t="shared" ref="C413:E413" si="958">IF(C$4-$A98&gt;=0,0,IF($A98&gt;C$3+C$4,0,C$15-C225-C288))</f>
        <v>0</v>
      </c>
      <c r="D413" s="2">
        <f t="shared" si="958"/>
        <v>0</v>
      </c>
      <c r="E413" s="2">
        <f t="shared" si="958"/>
        <v>0</v>
      </c>
      <c r="F413" s="2">
        <f t="shared" ref="F413:J413" si="959">IF(F$4-$A98&gt;=0,0,IF($A98&gt;F$3+F$4,0,F$15-F225-F288))</f>
        <v>0</v>
      </c>
      <c r="G413" s="2">
        <f t="shared" si="959"/>
        <v>0</v>
      </c>
      <c r="H413" s="2">
        <f t="shared" si="959"/>
        <v>0</v>
      </c>
      <c r="I413" s="2">
        <f t="shared" si="959"/>
        <v>0</v>
      </c>
      <c r="J413" s="2">
        <f t="shared" si="959"/>
        <v>0</v>
      </c>
      <c r="K413" s="2">
        <f t="shared" ref="K413:S413" si="960">IF(K$4-$A98&gt;=0,0,IF($A98&gt;K$3+K$4,0,K$15-K225-K288))</f>
        <v>0</v>
      </c>
      <c r="L413" s="2">
        <f t="shared" si="960"/>
        <v>0</v>
      </c>
      <c r="M413" s="2">
        <f t="shared" si="960"/>
        <v>0</v>
      </c>
      <c r="N413" s="2">
        <f t="shared" si="960"/>
        <v>0</v>
      </c>
      <c r="O413" s="2">
        <f t="shared" si="960"/>
        <v>0</v>
      </c>
      <c r="P413" s="2">
        <f t="shared" si="960"/>
        <v>0</v>
      </c>
      <c r="Q413" s="2">
        <f t="shared" si="960"/>
        <v>0</v>
      </c>
      <c r="R413" s="2">
        <f t="shared" si="960"/>
        <v>0</v>
      </c>
      <c r="S413" s="2">
        <f t="shared" si="960"/>
        <v>0</v>
      </c>
      <c r="T413" s="2">
        <f t="shared" ref="T413:U413" si="961">IF(T$4-$A98&gt;=0,0,IF($A98&gt;T$3+T$4,0,T$15-T225-T288))</f>
        <v>0</v>
      </c>
      <c r="U413" s="2">
        <f t="shared" si="961"/>
        <v>0</v>
      </c>
    </row>
    <row r="414" spans="1:21" x14ac:dyDescent="0.3">
      <c r="A414">
        <f t="shared" si="793"/>
        <v>44</v>
      </c>
      <c r="B414" s="1">
        <f>VLOOKUP(A414,dates!A:B,2,0)</f>
        <v>46266</v>
      </c>
      <c r="C414" s="2">
        <f t="shared" ref="C414:E414" si="962">IF(C$4-$A99&gt;=0,0,IF($A99&gt;C$3+C$4,0,C$15-C226-C289))</f>
        <v>0</v>
      </c>
      <c r="D414" s="2">
        <f t="shared" si="962"/>
        <v>0</v>
      </c>
      <c r="E414" s="2">
        <f t="shared" si="962"/>
        <v>0</v>
      </c>
      <c r="F414" s="2">
        <f t="shared" ref="F414:J414" si="963">IF(F$4-$A99&gt;=0,0,IF($A99&gt;F$3+F$4,0,F$15-F226-F289))</f>
        <v>0</v>
      </c>
      <c r="G414" s="2">
        <f t="shared" si="963"/>
        <v>0</v>
      </c>
      <c r="H414" s="2">
        <f t="shared" si="963"/>
        <v>0</v>
      </c>
      <c r="I414" s="2">
        <f t="shared" si="963"/>
        <v>0</v>
      </c>
      <c r="J414" s="2">
        <f t="shared" si="963"/>
        <v>0</v>
      </c>
      <c r="K414" s="2">
        <f t="shared" ref="K414:S414" si="964">IF(K$4-$A99&gt;=0,0,IF($A99&gt;K$3+K$4,0,K$15-K226-K289))</f>
        <v>0</v>
      </c>
      <c r="L414" s="2">
        <f t="shared" si="964"/>
        <v>0</v>
      </c>
      <c r="M414" s="2">
        <f t="shared" si="964"/>
        <v>0</v>
      </c>
      <c r="N414" s="2">
        <f t="shared" si="964"/>
        <v>0</v>
      </c>
      <c r="O414" s="2">
        <f t="shared" si="964"/>
        <v>0</v>
      </c>
      <c r="P414" s="2">
        <f t="shared" si="964"/>
        <v>0</v>
      </c>
      <c r="Q414" s="2">
        <f t="shared" si="964"/>
        <v>0</v>
      </c>
      <c r="R414" s="2">
        <f t="shared" si="964"/>
        <v>0</v>
      </c>
      <c r="S414" s="2">
        <f t="shared" si="964"/>
        <v>0</v>
      </c>
      <c r="T414" s="2">
        <f t="shared" ref="T414:U414" si="965">IF(T$4-$A99&gt;=0,0,IF($A99&gt;T$3+T$4,0,T$15-T226-T289))</f>
        <v>0</v>
      </c>
      <c r="U414" s="2">
        <f t="shared" si="965"/>
        <v>0</v>
      </c>
    </row>
    <row r="415" spans="1:21" x14ac:dyDescent="0.3">
      <c r="A415">
        <f t="shared" si="793"/>
        <v>45</v>
      </c>
      <c r="B415" s="1">
        <f>VLOOKUP(A415,dates!A:B,2,0)</f>
        <v>46296</v>
      </c>
      <c r="C415" s="2">
        <f t="shared" ref="C415:E415" si="966">IF(C$4-$A100&gt;=0,0,IF($A100&gt;C$3+C$4,0,C$15-C227-C290))</f>
        <v>0</v>
      </c>
      <c r="D415" s="2">
        <f t="shared" si="966"/>
        <v>0</v>
      </c>
      <c r="E415" s="2">
        <f t="shared" si="966"/>
        <v>0</v>
      </c>
      <c r="F415" s="2">
        <f t="shared" ref="F415:J415" si="967">IF(F$4-$A100&gt;=0,0,IF($A100&gt;F$3+F$4,0,F$15-F227-F290))</f>
        <v>0</v>
      </c>
      <c r="G415" s="2">
        <f t="shared" si="967"/>
        <v>0</v>
      </c>
      <c r="H415" s="2">
        <f t="shared" si="967"/>
        <v>0</v>
      </c>
      <c r="I415" s="2">
        <f t="shared" si="967"/>
        <v>0</v>
      </c>
      <c r="J415" s="2">
        <f t="shared" si="967"/>
        <v>0</v>
      </c>
      <c r="K415" s="2">
        <f t="shared" ref="K415:S415" si="968">IF(K$4-$A100&gt;=0,0,IF($A100&gt;K$3+K$4,0,K$15-K227-K290))</f>
        <v>0</v>
      </c>
      <c r="L415" s="2">
        <f t="shared" si="968"/>
        <v>0</v>
      </c>
      <c r="M415" s="2">
        <f t="shared" si="968"/>
        <v>0</v>
      </c>
      <c r="N415" s="2">
        <f t="shared" si="968"/>
        <v>0</v>
      </c>
      <c r="O415" s="2">
        <f t="shared" si="968"/>
        <v>0</v>
      </c>
      <c r="P415" s="2">
        <f t="shared" si="968"/>
        <v>0</v>
      </c>
      <c r="Q415" s="2">
        <f t="shared" si="968"/>
        <v>0</v>
      </c>
      <c r="R415" s="2">
        <f t="shared" si="968"/>
        <v>0</v>
      </c>
      <c r="S415" s="2">
        <f t="shared" si="968"/>
        <v>0</v>
      </c>
      <c r="T415" s="2">
        <f t="shared" ref="T415:U415" si="969">IF(T$4-$A100&gt;=0,0,IF($A100&gt;T$3+T$4,0,T$15-T227-T290))</f>
        <v>0</v>
      </c>
      <c r="U415" s="2">
        <f t="shared" si="969"/>
        <v>0</v>
      </c>
    </row>
    <row r="416" spans="1:21" x14ac:dyDescent="0.3">
      <c r="A416">
        <f t="shared" si="793"/>
        <v>46</v>
      </c>
      <c r="B416" s="1">
        <f>VLOOKUP(A416,dates!A:B,2,0)</f>
        <v>46327</v>
      </c>
      <c r="C416" s="2">
        <f t="shared" ref="C416:E416" si="970">IF(C$4-$A101&gt;=0,0,IF($A101&gt;C$3+C$4,0,C$15-C228-C291))</f>
        <v>0</v>
      </c>
      <c r="D416" s="2">
        <f t="shared" si="970"/>
        <v>0</v>
      </c>
      <c r="E416" s="2">
        <f t="shared" si="970"/>
        <v>0</v>
      </c>
      <c r="F416" s="2">
        <f t="shared" ref="F416:J416" si="971">IF(F$4-$A101&gt;=0,0,IF($A101&gt;F$3+F$4,0,F$15-F228-F291))</f>
        <v>0</v>
      </c>
      <c r="G416" s="2">
        <f t="shared" si="971"/>
        <v>0</v>
      </c>
      <c r="H416" s="2">
        <f t="shared" si="971"/>
        <v>0</v>
      </c>
      <c r="I416" s="2">
        <f t="shared" si="971"/>
        <v>0</v>
      </c>
      <c r="J416" s="2">
        <f t="shared" si="971"/>
        <v>0</v>
      </c>
      <c r="K416" s="2">
        <f t="shared" ref="K416:S416" si="972">IF(K$4-$A101&gt;=0,0,IF($A101&gt;K$3+K$4,0,K$15-K228-K291))</f>
        <v>0</v>
      </c>
      <c r="L416" s="2">
        <f t="shared" si="972"/>
        <v>0</v>
      </c>
      <c r="M416" s="2">
        <f t="shared" si="972"/>
        <v>0</v>
      </c>
      <c r="N416" s="2">
        <f t="shared" si="972"/>
        <v>0</v>
      </c>
      <c r="O416" s="2">
        <f t="shared" si="972"/>
        <v>0</v>
      </c>
      <c r="P416" s="2">
        <f t="shared" si="972"/>
        <v>0</v>
      </c>
      <c r="Q416" s="2">
        <f t="shared" si="972"/>
        <v>0</v>
      </c>
      <c r="R416" s="2">
        <f t="shared" si="972"/>
        <v>0</v>
      </c>
      <c r="S416" s="2">
        <f t="shared" si="972"/>
        <v>0</v>
      </c>
      <c r="T416" s="2">
        <f t="shared" ref="T416:U416" si="973">IF(T$4-$A101&gt;=0,0,IF($A101&gt;T$3+T$4,0,T$15-T228-T291))</f>
        <v>0</v>
      </c>
      <c r="U416" s="2">
        <f t="shared" si="973"/>
        <v>0</v>
      </c>
    </row>
    <row r="417" spans="1:21" x14ac:dyDescent="0.3">
      <c r="A417">
        <f t="shared" si="793"/>
        <v>47</v>
      </c>
      <c r="B417" s="1">
        <f>VLOOKUP(A417,dates!A:B,2,0)</f>
        <v>46357</v>
      </c>
      <c r="C417" s="2">
        <f t="shared" ref="C417:E417" si="974">IF(C$4-$A102&gt;=0,0,IF($A102&gt;C$3+C$4,0,C$15-C229-C292))</f>
        <v>0</v>
      </c>
      <c r="D417" s="2">
        <f t="shared" si="974"/>
        <v>0</v>
      </c>
      <c r="E417" s="2">
        <f t="shared" si="974"/>
        <v>0</v>
      </c>
      <c r="F417" s="2">
        <f t="shared" ref="F417:J417" si="975">IF(F$4-$A102&gt;=0,0,IF($A102&gt;F$3+F$4,0,F$15-F229-F292))</f>
        <v>0</v>
      </c>
      <c r="G417" s="2">
        <f t="shared" si="975"/>
        <v>0</v>
      </c>
      <c r="H417" s="2">
        <f t="shared" si="975"/>
        <v>0</v>
      </c>
      <c r="I417" s="2">
        <f t="shared" si="975"/>
        <v>0</v>
      </c>
      <c r="J417" s="2">
        <f t="shared" si="975"/>
        <v>0</v>
      </c>
      <c r="K417" s="2">
        <f t="shared" ref="K417:S417" si="976">IF(K$4-$A102&gt;=0,0,IF($A102&gt;K$3+K$4,0,K$15-K229-K292))</f>
        <v>0</v>
      </c>
      <c r="L417" s="2">
        <f t="shared" si="976"/>
        <v>0</v>
      </c>
      <c r="M417" s="2">
        <f t="shared" si="976"/>
        <v>0</v>
      </c>
      <c r="N417" s="2">
        <f t="shared" si="976"/>
        <v>0</v>
      </c>
      <c r="O417" s="2">
        <f t="shared" si="976"/>
        <v>0</v>
      </c>
      <c r="P417" s="2">
        <f t="shared" si="976"/>
        <v>0</v>
      </c>
      <c r="Q417" s="2">
        <f t="shared" si="976"/>
        <v>0</v>
      </c>
      <c r="R417" s="2">
        <f t="shared" si="976"/>
        <v>0</v>
      </c>
      <c r="S417" s="2">
        <f t="shared" si="976"/>
        <v>0</v>
      </c>
      <c r="T417" s="2">
        <f t="shared" ref="T417:U417" si="977">IF(T$4-$A102&gt;=0,0,IF($A102&gt;T$3+T$4,0,T$15-T229-T292))</f>
        <v>0</v>
      </c>
      <c r="U417" s="2">
        <f t="shared" si="977"/>
        <v>0</v>
      </c>
    </row>
    <row r="418" spans="1:21" x14ac:dyDescent="0.3">
      <c r="A418">
        <f t="shared" si="793"/>
        <v>48</v>
      </c>
      <c r="B418" s="1">
        <f>VLOOKUP(A418,dates!A:B,2,0)</f>
        <v>46388</v>
      </c>
      <c r="C418" s="2">
        <f t="shared" ref="C418:E418" si="978">IF(C$4-$A103&gt;=0,0,IF($A103&gt;C$3+C$4,0,C$15-C230-C293))</f>
        <v>0</v>
      </c>
      <c r="D418" s="2">
        <f t="shared" si="978"/>
        <v>0</v>
      </c>
      <c r="E418" s="2">
        <f t="shared" si="978"/>
        <v>0</v>
      </c>
      <c r="F418" s="2">
        <f t="shared" ref="F418:J418" si="979">IF(F$4-$A103&gt;=0,0,IF($A103&gt;F$3+F$4,0,F$15-F230-F293))</f>
        <v>0</v>
      </c>
      <c r="G418" s="2">
        <f t="shared" si="979"/>
        <v>0</v>
      </c>
      <c r="H418" s="2">
        <f t="shared" si="979"/>
        <v>0</v>
      </c>
      <c r="I418" s="2">
        <f t="shared" si="979"/>
        <v>0</v>
      </c>
      <c r="J418" s="2">
        <f t="shared" si="979"/>
        <v>0</v>
      </c>
      <c r="K418" s="2">
        <f t="shared" ref="K418:S418" si="980">IF(K$4-$A103&gt;=0,0,IF($A103&gt;K$3+K$4,0,K$15-K230-K293))</f>
        <v>0</v>
      </c>
      <c r="L418" s="2">
        <f t="shared" si="980"/>
        <v>0</v>
      </c>
      <c r="M418" s="2">
        <f t="shared" si="980"/>
        <v>0</v>
      </c>
      <c r="N418" s="2">
        <f t="shared" si="980"/>
        <v>0</v>
      </c>
      <c r="O418" s="2">
        <f t="shared" si="980"/>
        <v>0</v>
      </c>
      <c r="P418" s="2">
        <f t="shared" si="980"/>
        <v>0</v>
      </c>
      <c r="Q418" s="2">
        <f t="shared" si="980"/>
        <v>0</v>
      </c>
      <c r="R418" s="2">
        <f t="shared" si="980"/>
        <v>0</v>
      </c>
      <c r="S418" s="2">
        <f t="shared" si="980"/>
        <v>0</v>
      </c>
      <c r="T418" s="2">
        <f t="shared" ref="T418:U418" si="981">IF(T$4-$A103&gt;=0,0,IF($A103&gt;T$3+T$4,0,T$15-T230-T293))</f>
        <v>0</v>
      </c>
      <c r="U418" s="2">
        <f t="shared" si="981"/>
        <v>0</v>
      </c>
    </row>
    <row r="419" spans="1:21" x14ac:dyDescent="0.3">
      <c r="A419">
        <f t="shared" si="793"/>
        <v>49</v>
      </c>
      <c r="B419" s="1">
        <f>VLOOKUP(A419,dates!A:B,2,0)</f>
        <v>46419</v>
      </c>
      <c r="C419" s="2">
        <f t="shared" ref="C419:E419" si="982">IF(C$4-$A104&gt;=0,0,IF($A104&gt;C$3+C$4,0,C$15-C231-C294))</f>
        <v>0</v>
      </c>
      <c r="D419" s="2">
        <f t="shared" si="982"/>
        <v>0</v>
      </c>
      <c r="E419" s="2">
        <f t="shared" si="982"/>
        <v>0</v>
      </c>
      <c r="F419" s="2">
        <f t="shared" ref="F419:J419" si="983">IF(F$4-$A104&gt;=0,0,IF($A104&gt;F$3+F$4,0,F$15-F231-F294))</f>
        <v>0</v>
      </c>
      <c r="G419" s="2">
        <f t="shared" si="983"/>
        <v>0</v>
      </c>
      <c r="H419" s="2">
        <f t="shared" si="983"/>
        <v>0</v>
      </c>
      <c r="I419" s="2">
        <f t="shared" si="983"/>
        <v>0</v>
      </c>
      <c r="J419" s="2">
        <f t="shared" si="983"/>
        <v>0</v>
      </c>
      <c r="K419" s="2">
        <f t="shared" ref="K419:S419" si="984">IF(K$4-$A104&gt;=0,0,IF($A104&gt;K$3+K$4,0,K$15-K231-K294))</f>
        <v>0</v>
      </c>
      <c r="L419" s="2">
        <f t="shared" si="984"/>
        <v>0</v>
      </c>
      <c r="M419" s="2">
        <f t="shared" si="984"/>
        <v>0</v>
      </c>
      <c r="N419" s="2">
        <f t="shared" si="984"/>
        <v>0</v>
      </c>
      <c r="O419" s="2">
        <f t="shared" si="984"/>
        <v>0</v>
      </c>
      <c r="P419" s="2">
        <f t="shared" si="984"/>
        <v>0</v>
      </c>
      <c r="Q419" s="2">
        <f t="shared" si="984"/>
        <v>0</v>
      </c>
      <c r="R419" s="2">
        <f t="shared" si="984"/>
        <v>0</v>
      </c>
      <c r="S419" s="2">
        <f t="shared" si="984"/>
        <v>0</v>
      </c>
      <c r="T419" s="2">
        <f t="shared" ref="T419:U419" si="985">IF(T$4-$A104&gt;=0,0,IF($A104&gt;T$3+T$4,0,T$15-T231-T294))</f>
        <v>0</v>
      </c>
      <c r="U419" s="2">
        <f t="shared" si="985"/>
        <v>0</v>
      </c>
    </row>
    <row r="420" spans="1:21" x14ac:dyDescent="0.3">
      <c r="A420">
        <f t="shared" si="793"/>
        <v>50</v>
      </c>
      <c r="B420" s="1">
        <f>VLOOKUP(A420,dates!A:B,2,0)</f>
        <v>46447</v>
      </c>
      <c r="C420" s="2">
        <f t="shared" ref="C420:E420" si="986">IF(C$4-$A105&gt;=0,0,IF($A105&gt;C$3+C$4,0,C$15-C232-C295))</f>
        <v>0</v>
      </c>
      <c r="D420" s="2">
        <f t="shared" si="986"/>
        <v>0</v>
      </c>
      <c r="E420" s="2">
        <f t="shared" si="986"/>
        <v>0</v>
      </c>
      <c r="F420" s="2">
        <f t="shared" ref="F420:J420" si="987">IF(F$4-$A105&gt;=0,0,IF($A105&gt;F$3+F$4,0,F$15-F232-F295))</f>
        <v>0</v>
      </c>
      <c r="G420" s="2">
        <f t="shared" si="987"/>
        <v>0</v>
      </c>
      <c r="H420" s="2">
        <f t="shared" si="987"/>
        <v>0</v>
      </c>
      <c r="I420" s="2">
        <f t="shared" si="987"/>
        <v>0</v>
      </c>
      <c r="J420" s="2">
        <f t="shared" si="987"/>
        <v>0</v>
      </c>
      <c r="K420" s="2">
        <f t="shared" ref="K420:S420" si="988">IF(K$4-$A105&gt;=0,0,IF($A105&gt;K$3+K$4,0,K$15-K232-K295))</f>
        <v>0</v>
      </c>
      <c r="L420" s="2">
        <f t="shared" si="988"/>
        <v>0</v>
      </c>
      <c r="M420" s="2">
        <f t="shared" si="988"/>
        <v>0</v>
      </c>
      <c r="N420" s="2">
        <f t="shared" si="988"/>
        <v>0</v>
      </c>
      <c r="O420" s="2">
        <f t="shared" si="988"/>
        <v>0</v>
      </c>
      <c r="P420" s="2">
        <f t="shared" si="988"/>
        <v>0</v>
      </c>
      <c r="Q420" s="2">
        <f t="shared" si="988"/>
        <v>0</v>
      </c>
      <c r="R420" s="2">
        <f t="shared" si="988"/>
        <v>0</v>
      </c>
      <c r="S420" s="2">
        <f t="shared" si="988"/>
        <v>0</v>
      </c>
      <c r="T420" s="2">
        <f t="shared" ref="T420:U420" si="989">IF(T$4-$A105&gt;=0,0,IF($A105&gt;T$3+T$4,0,T$15-T232-T295))</f>
        <v>0</v>
      </c>
      <c r="U420" s="2">
        <f t="shared" si="989"/>
        <v>0</v>
      </c>
    </row>
    <row r="421" spans="1:21" x14ac:dyDescent="0.3">
      <c r="A421">
        <f t="shared" si="793"/>
        <v>51</v>
      </c>
      <c r="B421" s="1">
        <f>VLOOKUP(A421,dates!A:B,2,0)</f>
        <v>46478</v>
      </c>
      <c r="C421" s="2">
        <f t="shared" ref="C421:E421" si="990">IF(C$4-$A106&gt;=0,0,IF($A106&gt;C$3+C$4,0,C$15-C233-C296))</f>
        <v>0</v>
      </c>
      <c r="D421" s="2">
        <f t="shared" si="990"/>
        <v>0</v>
      </c>
      <c r="E421" s="2">
        <f t="shared" si="990"/>
        <v>0</v>
      </c>
      <c r="F421" s="2">
        <f t="shared" ref="F421:J421" si="991">IF(F$4-$A106&gt;=0,0,IF($A106&gt;F$3+F$4,0,F$15-F233-F296))</f>
        <v>0</v>
      </c>
      <c r="G421" s="2">
        <f t="shared" si="991"/>
        <v>0</v>
      </c>
      <c r="H421" s="2">
        <f t="shared" si="991"/>
        <v>0</v>
      </c>
      <c r="I421" s="2">
        <f t="shared" si="991"/>
        <v>0</v>
      </c>
      <c r="J421" s="2">
        <f t="shared" si="991"/>
        <v>0</v>
      </c>
      <c r="K421" s="2">
        <f t="shared" ref="K421:S421" si="992">IF(K$4-$A106&gt;=0,0,IF($A106&gt;K$3+K$4,0,K$15-K233-K296))</f>
        <v>0</v>
      </c>
      <c r="L421" s="2">
        <f t="shared" si="992"/>
        <v>0</v>
      </c>
      <c r="M421" s="2">
        <f t="shared" si="992"/>
        <v>0</v>
      </c>
      <c r="N421" s="2">
        <f t="shared" si="992"/>
        <v>0</v>
      </c>
      <c r="O421" s="2">
        <f t="shared" si="992"/>
        <v>0</v>
      </c>
      <c r="P421" s="2">
        <f t="shared" si="992"/>
        <v>0</v>
      </c>
      <c r="Q421" s="2">
        <f t="shared" si="992"/>
        <v>0</v>
      </c>
      <c r="R421" s="2">
        <f t="shared" si="992"/>
        <v>0</v>
      </c>
      <c r="S421" s="2">
        <f t="shared" si="992"/>
        <v>0</v>
      </c>
      <c r="T421" s="2">
        <f t="shared" ref="T421:U421" si="993">IF(T$4-$A106&gt;=0,0,IF($A106&gt;T$3+T$4,0,T$15-T233-T296))</f>
        <v>0</v>
      </c>
      <c r="U421" s="2">
        <f t="shared" si="993"/>
        <v>0</v>
      </c>
    </row>
    <row r="422" spans="1:21" x14ac:dyDescent="0.3">
      <c r="A422">
        <f t="shared" si="793"/>
        <v>52</v>
      </c>
      <c r="B422" s="1">
        <f>VLOOKUP(A422,dates!A:B,2,0)</f>
        <v>46508</v>
      </c>
      <c r="C422" s="2">
        <f t="shared" ref="C422:E422" si="994">IF(C$4-$A107&gt;=0,0,IF($A107&gt;C$3+C$4,0,C$15-C234-C297))</f>
        <v>0</v>
      </c>
      <c r="D422" s="2">
        <f t="shared" si="994"/>
        <v>0</v>
      </c>
      <c r="E422" s="2">
        <f t="shared" si="994"/>
        <v>0</v>
      </c>
      <c r="F422" s="2">
        <f t="shared" ref="F422:J422" si="995">IF(F$4-$A107&gt;=0,0,IF($A107&gt;F$3+F$4,0,F$15-F234-F297))</f>
        <v>0</v>
      </c>
      <c r="G422" s="2">
        <f t="shared" si="995"/>
        <v>0</v>
      </c>
      <c r="H422" s="2">
        <f t="shared" si="995"/>
        <v>0</v>
      </c>
      <c r="I422" s="2">
        <f t="shared" si="995"/>
        <v>0</v>
      </c>
      <c r="J422" s="2">
        <f t="shared" si="995"/>
        <v>0</v>
      </c>
      <c r="K422" s="2">
        <f t="shared" ref="K422:S422" si="996">IF(K$4-$A107&gt;=0,0,IF($A107&gt;K$3+K$4,0,K$15-K234-K297))</f>
        <v>0</v>
      </c>
      <c r="L422" s="2">
        <f t="shared" si="996"/>
        <v>0</v>
      </c>
      <c r="M422" s="2">
        <f t="shared" si="996"/>
        <v>0</v>
      </c>
      <c r="N422" s="2">
        <f t="shared" si="996"/>
        <v>0</v>
      </c>
      <c r="O422" s="2">
        <f t="shared" si="996"/>
        <v>0</v>
      </c>
      <c r="P422" s="2">
        <f t="shared" si="996"/>
        <v>0</v>
      </c>
      <c r="Q422" s="2">
        <f t="shared" si="996"/>
        <v>0</v>
      </c>
      <c r="R422" s="2">
        <f t="shared" si="996"/>
        <v>0</v>
      </c>
      <c r="S422" s="2">
        <f t="shared" si="996"/>
        <v>0</v>
      </c>
      <c r="T422" s="2">
        <f t="shared" ref="T422:U422" si="997">IF(T$4-$A107&gt;=0,0,IF($A107&gt;T$3+T$4,0,T$15-T234-T297))</f>
        <v>0</v>
      </c>
      <c r="U422" s="2">
        <f t="shared" si="997"/>
        <v>0</v>
      </c>
    </row>
    <row r="423" spans="1:21" x14ac:dyDescent="0.3">
      <c r="A423">
        <f t="shared" si="793"/>
        <v>53</v>
      </c>
      <c r="B423" s="1">
        <f>VLOOKUP(A423,dates!A:B,2,0)</f>
        <v>46539</v>
      </c>
      <c r="C423" s="2">
        <f t="shared" ref="C423:E423" si="998">IF(C$4-$A108&gt;=0,0,IF($A108&gt;C$3+C$4,0,C$15-C235-C298))</f>
        <v>0</v>
      </c>
      <c r="D423" s="2">
        <f t="shared" si="998"/>
        <v>0</v>
      </c>
      <c r="E423" s="2">
        <f t="shared" si="998"/>
        <v>0</v>
      </c>
      <c r="F423" s="2">
        <f t="shared" ref="F423:J423" si="999">IF(F$4-$A108&gt;=0,0,IF($A108&gt;F$3+F$4,0,F$15-F235-F298))</f>
        <v>0</v>
      </c>
      <c r="G423" s="2">
        <f t="shared" si="999"/>
        <v>0</v>
      </c>
      <c r="H423" s="2">
        <f t="shared" si="999"/>
        <v>0</v>
      </c>
      <c r="I423" s="2">
        <f t="shared" si="999"/>
        <v>0</v>
      </c>
      <c r="J423" s="2">
        <f t="shared" si="999"/>
        <v>0</v>
      </c>
      <c r="K423" s="2">
        <f t="shared" ref="K423:S423" si="1000">IF(K$4-$A108&gt;=0,0,IF($A108&gt;K$3+K$4,0,K$15-K235-K298))</f>
        <v>0</v>
      </c>
      <c r="L423" s="2">
        <f t="shared" si="1000"/>
        <v>0</v>
      </c>
      <c r="M423" s="2">
        <f t="shared" si="1000"/>
        <v>0</v>
      </c>
      <c r="N423" s="2">
        <f t="shared" si="1000"/>
        <v>0</v>
      </c>
      <c r="O423" s="2">
        <f t="shared" si="1000"/>
        <v>0</v>
      </c>
      <c r="P423" s="2">
        <f t="shared" si="1000"/>
        <v>0</v>
      </c>
      <c r="Q423" s="2">
        <f t="shared" si="1000"/>
        <v>0</v>
      </c>
      <c r="R423" s="2">
        <f t="shared" si="1000"/>
        <v>0</v>
      </c>
      <c r="S423" s="2">
        <f t="shared" si="1000"/>
        <v>0</v>
      </c>
      <c r="T423" s="2">
        <f t="shared" ref="T423:U423" si="1001">IF(T$4-$A108&gt;=0,0,IF($A108&gt;T$3+T$4,0,T$15-T235-T298))</f>
        <v>0</v>
      </c>
      <c r="U423" s="2">
        <f t="shared" si="1001"/>
        <v>0</v>
      </c>
    </row>
    <row r="424" spans="1:21" x14ac:dyDescent="0.3">
      <c r="A424">
        <f t="shared" si="793"/>
        <v>54</v>
      </c>
      <c r="B424" s="1">
        <f>VLOOKUP(A424,dates!A:B,2,0)</f>
        <v>46569</v>
      </c>
      <c r="C424" s="2">
        <f t="shared" ref="C424:E424" si="1002">IF(C$4-$A109&gt;=0,0,IF($A109&gt;C$3+C$4,0,C$15-C236-C299))</f>
        <v>0</v>
      </c>
      <c r="D424" s="2">
        <f t="shared" si="1002"/>
        <v>0</v>
      </c>
      <c r="E424" s="2">
        <f t="shared" si="1002"/>
        <v>0</v>
      </c>
      <c r="F424" s="2">
        <f t="shared" ref="F424:J424" si="1003">IF(F$4-$A109&gt;=0,0,IF($A109&gt;F$3+F$4,0,F$15-F236-F299))</f>
        <v>0</v>
      </c>
      <c r="G424" s="2">
        <f t="shared" si="1003"/>
        <v>0</v>
      </c>
      <c r="H424" s="2">
        <f t="shared" si="1003"/>
        <v>0</v>
      </c>
      <c r="I424" s="2">
        <f t="shared" si="1003"/>
        <v>0</v>
      </c>
      <c r="J424" s="2">
        <f t="shared" si="1003"/>
        <v>0</v>
      </c>
      <c r="K424" s="2">
        <f t="shared" ref="K424:S424" si="1004">IF(K$4-$A109&gt;=0,0,IF($A109&gt;K$3+K$4,0,K$15-K236-K299))</f>
        <v>0</v>
      </c>
      <c r="L424" s="2">
        <f t="shared" si="1004"/>
        <v>0</v>
      </c>
      <c r="M424" s="2">
        <f t="shared" si="1004"/>
        <v>0</v>
      </c>
      <c r="N424" s="2">
        <f t="shared" si="1004"/>
        <v>0</v>
      </c>
      <c r="O424" s="2">
        <f t="shared" si="1004"/>
        <v>0</v>
      </c>
      <c r="P424" s="2">
        <f t="shared" si="1004"/>
        <v>0</v>
      </c>
      <c r="Q424" s="2">
        <f t="shared" si="1004"/>
        <v>0</v>
      </c>
      <c r="R424" s="2">
        <f t="shared" si="1004"/>
        <v>0</v>
      </c>
      <c r="S424" s="2">
        <f t="shared" si="1004"/>
        <v>0</v>
      </c>
      <c r="T424" s="2">
        <f t="shared" ref="T424:U424" si="1005">IF(T$4-$A109&gt;=0,0,IF($A109&gt;T$3+T$4,0,T$15-T236-T299))</f>
        <v>0</v>
      </c>
      <c r="U424" s="2">
        <f t="shared" si="1005"/>
        <v>0</v>
      </c>
    </row>
    <row r="425" spans="1:21" x14ac:dyDescent="0.3">
      <c r="A425">
        <f t="shared" si="793"/>
        <v>55</v>
      </c>
      <c r="B425" s="1">
        <f>VLOOKUP(A425,dates!A:B,2,0)</f>
        <v>46600</v>
      </c>
      <c r="C425" s="2">
        <f t="shared" ref="C425:E425" si="1006">IF(C$4-$A110&gt;=0,0,IF($A110&gt;C$3+C$4,0,C$15-C237-C300))</f>
        <v>0</v>
      </c>
      <c r="D425" s="2">
        <f t="shared" si="1006"/>
        <v>0</v>
      </c>
      <c r="E425" s="2">
        <f t="shared" si="1006"/>
        <v>0</v>
      </c>
      <c r="F425" s="2">
        <f t="shared" ref="F425:J425" si="1007">IF(F$4-$A110&gt;=0,0,IF($A110&gt;F$3+F$4,0,F$15-F237-F300))</f>
        <v>0</v>
      </c>
      <c r="G425" s="2">
        <f t="shared" si="1007"/>
        <v>0</v>
      </c>
      <c r="H425" s="2">
        <f t="shared" si="1007"/>
        <v>0</v>
      </c>
      <c r="I425" s="2">
        <f t="shared" si="1007"/>
        <v>0</v>
      </c>
      <c r="J425" s="2">
        <f t="shared" si="1007"/>
        <v>0</v>
      </c>
      <c r="K425" s="2">
        <f t="shared" ref="K425:S425" si="1008">IF(K$4-$A110&gt;=0,0,IF($A110&gt;K$3+K$4,0,K$15-K237-K300))</f>
        <v>0</v>
      </c>
      <c r="L425" s="2">
        <f t="shared" si="1008"/>
        <v>0</v>
      </c>
      <c r="M425" s="2">
        <f t="shared" si="1008"/>
        <v>0</v>
      </c>
      <c r="N425" s="2">
        <f t="shared" si="1008"/>
        <v>0</v>
      </c>
      <c r="O425" s="2">
        <f t="shared" si="1008"/>
        <v>0</v>
      </c>
      <c r="P425" s="2">
        <f t="shared" si="1008"/>
        <v>0</v>
      </c>
      <c r="Q425" s="2">
        <f t="shared" si="1008"/>
        <v>0</v>
      </c>
      <c r="R425" s="2">
        <f t="shared" si="1008"/>
        <v>0</v>
      </c>
      <c r="S425" s="2">
        <f t="shared" si="1008"/>
        <v>0</v>
      </c>
      <c r="T425" s="2">
        <f t="shared" ref="T425:U425" si="1009">IF(T$4-$A110&gt;=0,0,IF($A110&gt;T$3+T$4,0,T$15-T237-T300))</f>
        <v>0</v>
      </c>
      <c r="U425" s="2">
        <f t="shared" si="1009"/>
        <v>0</v>
      </c>
    </row>
    <row r="426" spans="1:21" x14ac:dyDescent="0.3">
      <c r="A426">
        <f t="shared" si="793"/>
        <v>56</v>
      </c>
      <c r="B426" s="1">
        <f>VLOOKUP(A426,dates!A:B,2,0)</f>
        <v>46631</v>
      </c>
      <c r="C426" s="2">
        <f t="shared" ref="C426:E426" si="1010">IF(C$4-$A111&gt;=0,0,IF($A111&gt;C$3+C$4,0,C$15-C238-C301))</f>
        <v>0</v>
      </c>
      <c r="D426" s="2">
        <f t="shared" si="1010"/>
        <v>0</v>
      </c>
      <c r="E426" s="2">
        <f t="shared" si="1010"/>
        <v>0</v>
      </c>
      <c r="F426" s="2">
        <f t="shared" ref="F426:J426" si="1011">IF(F$4-$A111&gt;=0,0,IF($A111&gt;F$3+F$4,0,F$15-F238-F301))</f>
        <v>0</v>
      </c>
      <c r="G426" s="2">
        <f t="shared" si="1011"/>
        <v>0</v>
      </c>
      <c r="H426" s="2">
        <f t="shared" si="1011"/>
        <v>0</v>
      </c>
      <c r="I426" s="2">
        <f t="shared" si="1011"/>
        <v>0</v>
      </c>
      <c r="J426" s="2">
        <f t="shared" si="1011"/>
        <v>0</v>
      </c>
      <c r="K426" s="2">
        <f t="shared" ref="K426:S426" si="1012">IF(K$4-$A111&gt;=0,0,IF($A111&gt;K$3+K$4,0,K$15-K238-K301))</f>
        <v>0</v>
      </c>
      <c r="L426" s="2">
        <f t="shared" si="1012"/>
        <v>0</v>
      </c>
      <c r="M426" s="2">
        <f t="shared" si="1012"/>
        <v>0</v>
      </c>
      <c r="N426" s="2">
        <f t="shared" si="1012"/>
        <v>0</v>
      </c>
      <c r="O426" s="2">
        <f t="shared" si="1012"/>
        <v>0</v>
      </c>
      <c r="P426" s="2">
        <f t="shared" si="1012"/>
        <v>0</v>
      </c>
      <c r="Q426" s="2">
        <f t="shared" si="1012"/>
        <v>0</v>
      </c>
      <c r="R426" s="2">
        <f t="shared" si="1012"/>
        <v>0</v>
      </c>
      <c r="S426" s="2">
        <f t="shared" si="1012"/>
        <v>0</v>
      </c>
      <c r="T426" s="2">
        <f t="shared" ref="T426:U426" si="1013">IF(T$4-$A111&gt;=0,0,IF($A111&gt;T$3+T$4,0,T$15-T238-T301))</f>
        <v>0</v>
      </c>
      <c r="U426" s="2">
        <f t="shared" si="1013"/>
        <v>0</v>
      </c>
    </row>
    <row r="427" spans="1:21" x14ac:dyDescent="0.3">
      <c r="A427">
        <f t="shared" si="793"/>
        <v>57</v>
      </c>
      <c r="B427" s="1">
        <f>VLOOKUP(A427,dates!A:B,2,0)</f>
        <v>46661</v>
      </c>
      <c r="C427" s="2">
        <f t="shared" ref="C427:E427" si="1014">IF(C$4-$A112&gt;=0,0,IF($A112&gt;C$3+C$4,0,C$15-C239-C302))</f>
        <v>0</v>
      </c>
      <c r="D427" s="2">
        <f t="shared" si="1014"/>
        <v>0</v>
      </c>
      <c r="E427" s="2">
        <f t="shared" si="1014"/>
        <v>0</v>
      </c>
      <c r="F427" s="2">
        <f t="shared" ref="F427:J427" si="1015">IF(F$4-$A112&gt;=0,0,IF($A112&gt;F$3+F$4,0,F$15-F239-F302))</f>
        <v>0</v>
      </c>
      <c r="G427" s="2">
        <f t="shared" si="1015"/>
        <v>0</v>
      </c>
      <c r="H427" s="2">
        <f t="shared" si="1015"/>
        <v>0</v>
      </c>
      <c r="I427" s="2">
        <f t="shared" si="1015"/>
        <v>0</v>
      </c>
      <c r="J427" s="2">
        <f t="shared" si="1015"/>
        <v>0</v>
      </c>
      <c r="K427" s="2">
        <f t="shared" ref="K427:S427" si="1016">IF(K$4-$A112&gt;=0,0,IF($A112&gt;K$3+K$4,0,K$15-K239-K302))</f>
        <v>0</v>
      </c>
      <c r="L427" s="2">
        <f t="shared" si="1016"/>
        <v>0</v>
      </c>
      <c r="M427" s="2">
        <f t="shared" si="1016"/>
        <v>0</v>
      </c>
      <c r="N427" s="2">
        <f t="shared" si="1016"/>
        <v>0</v>
      </c>
      <c r="O427" s="2">
        <f t="shared" si="1016"/>
        <v>0</v>
      </c>
      <c r="P427" s="2">
        <f t="shared" si="1016"/>
        <v>0</v>
      </c>
      <c r="Q427" s="2">
        <f t="shared" si="1016"/>
        <v>0</v>
      </c>
      <c r="R427" s="2">
        <f t="shared" si="1016"/>
        <v>0</v>
      </c>
      <c r="S427" s="2">
        <f t="shared" si="1016"/>
        <v>0</v>
      </c>
      <c r="T427" s="2">
        <f t="shared" ref="T427:U427" si="1017">IF(T$4-$A112&gt;=0,0,IF($A112&gt;T$3+T$4,0,T$15-T239-T302))</f>
        <v>0</v>
      </c>
      <c r="U427" s="2">
        <f t="shared" si="1017"/>
        <v>0</v>
      </c>
    </row>
    <row r="428" spans="1:21" x14ac:dyDescent="0.3">
      <c r="A428">
        <f t="shared" si="793"/>
        <v>58</v>
      </c>
      <c r="B428" s="1">
        <f>VLOOKUP(A428,dates!A:B,2,0)</f>
        <v>46692</v>
      </c>
      <c r="C428" s="2">
        <f t="shared" ref="C428:E428" si="1018">IF(C$4-$A113&gt;=0,0,IF($A113&gt;C$3+C$4,0,C$15-C240-C303))</f>
        <v>0</v>
      </c>
      <c r="D428" s="2">
        <f t="shared" si="1018"/>
        <v>0</v>
      </c>
      <c r="E428" s="2">
        <f t="shared" si="1018"/>
        <v>0</v>
      </c>
      <c r="F428" s="2">
        <f t="shared" ref="F428:J428" si="1019">IF(F$4-$A113&gt;=0,0,IF($A113&gt;F$3+F$4,0,F$15-F240-F303))</f>
        <v>0</v>
      </c>
      <c r="G428" s="2">
        <f t="shared" si="1019"/>
        <v>0</v>
      </c>
      <c r="H428" s="2">
        <f t="shared" si="1019"/>
        <v>0</v>
      </c>
      <c r="I428" s="2">
        <f t="shared" si="1019"/>
        <v>0</v>
      </c>
      <c r="J428" s="2">
        <f t="shared" si="1019"/>
        <v>0</v>
      </c>
      <c r="K428" s="2">
        <f t="shared" ref="K428:S428" si="1020">IF(K$4-$A113&gt;=0,0,IF($A113&gt;K$3+K$4,0,K$15-K240-K303))</f>
        <v>0</v>
      </c>
      <c r="L428" s="2">
        <f t="shared" si="1020"/>
        <v>0</v>
      </c>
      <c r="M428" s="2">
        <f t="shared" si="1020"/>
        <v>0</v>
      </c>
      <c r="N428" s="2">
        <f t="shared" si="1020"/>
        <v>0</v>
      </c>
      <c r="O428" s="2">
        <f t="shared" si="1020"/>
        <v>0</v>
      </c>
      <c r="P428" s="2">
        <f t="shared" si="1020"/>
        <v>0</v>
      </c>
      <c r="Q428" s="2">
        <f t="shared" si="1020"/>
        <v>0</v>
      </c>
      <c r="R428" s="2">
        <f t="shared" si="1020"/>
        <v>0</v>
      </c>
      <c r="S428" s="2">
        <f t="shared" si="1020"/>
        <v>0</v>
      </c>
      <c r="T428" s="2">
        <f t="shared" ref="T428:U428" si="1021">IF(T$4-$A113&gt;=0,0,IF($A113&gt;T$3+T$4,0,T$15-T240-T303))</f>
        <v>0</v>
      </c>
      <c r="U428" s="2">
        <f t="shared" si="1021"/>
        <v>0</v>
      </c>
    </row>
    <row r="429" spans="1:21" x14ac:dyDescent="0.3">
      <c r="A429">
        <f t="shared" si="793"/>
        <v>59</v>
      </c>
      <c r="B429" s="1">
        <f>VLOOKUP(A429,dates!A:B,2,0)</f>
        <v>46722</v>
      </c>
      <c r="C429" s="2">
        <f t="shared" ref="C429:E429" si="1022">IF(C$4-$A114&gt;=0,0,IF($A114&gt;C$3+C$4,0,C$15-C241-C304))</f>
        <v>0</v>
      </c>
      <c r="D429" s="2">
        <f t="shared" si="1022"/>
        <v>0</v>
      </c>
      <c r="E429" s="2">
        <f t="shared" si="1022"/>
        <v>0</v>
      </c>
      <c r="F429" s="2">
        <f t="shared" ref="F429:J429" si="1023">IF(F$4-$A114&gt;=0,0,IF($A114&gt;F$3+F$4,0,F$15-F241-F304))</f>
        <v>0</v>
      </c>
      <c r="G429" s="2">
        <f t="shared" si="1023"/>
        <v>0</v>
      </c>
      <c r="H429" s="2">
        <f t="shared" si="1023"/>
        <v>0</v>
      </c>
      <c r="I429" s="2">
        <f t="shared" si="1023"/>
        <v>0</v>
      </c>
      <c r="J429" s="2">
        <f t="shared" si="1023"/>
        <v>0</v>
      </c>
      <c r="K429" s="2">
        <f t="shared" ref="K429:S429" si="1024">IF(K$4-$A114&gt;=0,0,IF($A114&gt;K$3+K$4,0,K$15-K241-K304))</f>
        <v>0</v>
      </c>
      <c r="L429" s="2">
        <f t="shared" si="1024"/>
        <v>0</v>
      </c>
      <c r="M429" s="2">
        <f t="shared" si="1024"/>
        <v>0</v>
      </c>
      <c r="N429" s="2">
        <f t="shared" si="1024"/>
        <v>0</v>
      </c>
      <c r="O429" s="2">
        <f t="shared" si="1024"/>
        <v>0</v>
      </c>
      <c r="P429" s="2">
        <f t="shared" si="1024"/>
        <v>0</v>
      </c>
      <c r="Q429" s="2">
        <f t="shared" si="1024"/>
        <v>0</v>
      </c>
      <c r="R429" s="2">
        <f t="shared" si="1024"/>
        <v>0</v>
      </c>
      <c r="S429" s="2">
        <f t="shared" si="1024"/>
        <v>0</v>
      </c>
      <c r="T429" s="2">
        <f t="shared" ref="T429:U429" si="1025">IF(T$4-$A114&gt;=0,0,IF($A114&gt;T$3+T$4,0,T$15-T241-T304))</f>
        <v>0</v>
      </c>
      <c r="U429" s="2">
        <f t="shared" si="1025"/>
        <v>0</v>
      </c>
    </row>
    <row r="430" spans="1:21" x14ac:dyDescent="0.3">
      <c r="A430">
        <f t="shared" si="793"/>
        <v>60</v>
      </c>
      <c r="B430" s="1">
        <f>VLOOKUP(A430,dates!A:B,2,0)</f>
        <v>46753</v>
      </c>
      <c r="C430" s="2">
        <f t="shared" ref="C430:E430" si="1026">IF(C$4-$A115&gt;=0,0,IF($A115&gt;C$3+C$4,0,C$15-C242-C305))</f>
        <v>0</v>
      </c>
      <c r="D430" s="2">
        <f t="shared" si="1026"/>
        <v>0</v>
      </c>
      <c r="E430" s="2">
        <f t="shared" si="1026"/>
        <v>0</v>
      </c>
      <c r="F430" s="2">
        <f t="shared" ref="F430:J430" si="1027">IF(F$4-$A115&gt;=0,0,IF($A115&gt;F$3+F$4,0,F$15-F242-F305))</f>
        <v>0</v>
      </c>
      <c r="G430" s="2">
        <f t="shared" si="1027"/>
        <v>0</v>
      </c>
      <c r="H430" s="2">
        <f t="shared" si="1027"/>
        <v>0</v>
      </c>
      <c r="I430" s="2">
        <f t="shared" si="1027"/>
        <v>0</v>
      </c>
      <c r="J430" s="2">
        <f t="shared" si="1027"/>
        <v>0</v>
      </c>
      <c r="K430" s="2">
        <f t="shared" ref="K430:S430" si="1028">IF(K$4-$A115&gt;=0,0,IF($A115&gt;K$3+K$4,0,K$15-K242-K305))</f>
        <v>0</v>
      </c>
      <c r="L430" s="2">
        <f t="shared" si="1028"/>
        <v>0</v>
      </c>
      <c r="M430" s="2">
        <f t="shared" si="1028"/>
        <v>0</v>
      </c>
      <c r="N430" s="2">
        <f t="shared" si="1028"/>
        <v>0</v>
      </c>
      <c r="O430" s="2">
        <f t="shared" si="1028"/>
        <v>0</v>
      </c>
      <c r="P430" s="2">
        <f t="shared" si="1028"/>
        <v>0</v>
      </c>
      <c r="Q430" s="2">
        <f t="shared" si="1028"/>
        <v>0</v>
      </c>
      <c r="R430" s="2">
        <f t="shared" si="1028"/>
        <v>0</v>
      </c>
      <c r="S430" s="2">
        <f t="shared" si="1028"/>
        <v>0</v>
      </c>
      <c r="T430" s="2">
        <f t="shared" ref="T430:U430" si="1029">IF(T$4-$A115&gt;=0,0,IF($A115&gt;T$3+T$4,0,T$15-T242-T305))</f>
        <v>0</v>
      </c>
      <c r="U430" s="2">
        <f t="shared" si="1029"/>
        <v>0</v>
      </c>
    </row>
  </sheetData>
  <conditionalFormatting sqref="E5:U5">
    <cfRule type="expression" dxfId="6" priority="8">
      <formula>E11=2</formula>
    </cfRule>
  </conditionalFormatting>
  <conditionalFormatting sqref="E17:U17">
    <cfRule type="expression" dxfId="5" priority="7">
      <formula>E11=1</formula>
    </cfRule>
  </conditionalFormatting>
  <conditionalFormatting sqref="C12:U12">
    <cfRule type="expression" dxfId="4" priority="5">
      <formula>OR(C11=3,C11=4)</formula>
    </cfRule>
  </conditionalFormatting>
  <conditionalFormatting sqref="E5:U5">
    <cfRule type="expression" dxfId="3" priority="4">
      <formula>E11=1</formula>
    </cfRule>
  </conditionalFormatting>
  <conditionalFormatting sqref="C5:U5">
    <cfRule type="expression" dxfId="2" priority="3">
      <formula>OR(C11=1,C11=3,C11=4)</formula>
    </cfRule>
  </conditionalFormatting>
  <conditionalFormatting sqref="C17:U17">
    <cfRule type="expression" dxfId="1" priority="2">
      <formula>OR(C11=2,,C11=3,C11=4)</formula>
    </cfRule>
  </conditionalFormatting>
  <conditionalFormatting sqref="C16:U16">
    <cfRule type="expression" dxfId="0" priority="1">
      <formula>OR(C6=2,,C6=3,C6=4)</formula>
    </cfRule>
  </conditionalFormatting>
  <pageMargins left="0.7" right="0.7" top="0.75" bottom="0.75" header="0.3" footer="0.3"/>
  <pageSetup orientation="portrait" r:id="rId1"/>
  <ignoredErrors>
    <ignoredError sqref="V18 C18:U18 AA18:AS1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Macro1">
                <anchor moveWithCells="1" sizeWithCells="1">
                  <from>
                    <xdr:col>0</xdr:col>
                    <xdr:colOff>175260</xdr:colOff>
                    <xdr:row>0</xdr:row>
                    <xdr:rowOff>99060</xdr:rowOff>
                  </from>
                  <to>
                    <xdr:col>0</xdr:col>
                    <xdr:colOff>792480</xdr:colOff>
                    <xdr:row>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A04FD-4C1C-4D2C-AFD7-39803DD74010}">
  <sheetPr codeName="Sheet2"/>
  <dimension ref="A1:B62"/>
  <sheetViews>
    <sheetView workbookViewId="0">
      <selection activeCell="B21" sqref="B21"/>
    </sheetView>
  </sheetViews>
  <sheetFormatPr defaultRowHeight="14.4" x14ac:dyDescent="0.3"/>
  <cols>
    <col min="2" max="2" width="10.5546875" bestFit="1" customWidth="1"/>
  </cols>
  <sheetData>
    <row r="1" spans="1:2" x14ac:dyDescent="0.3">
      <c r="A1" t="s">
        <v>22</v>
      </c>
      <c r="B1" t="s">
        <v>23</v>
      </c>
    </row>
    <row r="2" spans="1:2" x14ac:dyDescent="0.3">
      <c r="A2">
        <v>0</v>
      </c>
      <c r="B2" s="1">
        <v>44927</v>
      </c>
    </row>
    <row r="3" spans="1:2" x14ac:dyDescent="0.3">
      <c r="A3">
        <v>1</v>
      </c>
      <c r="B3" s="1">
        <f>DATE(YEAR(B2),MONTH(B2)+1,1)</f>
        <v>44958</v>
      </c>
    </row>
    <row r="4" spans="1:2" x14ac:dyDescent="0.3">
      <c r="A4">
        <v>2</v>
      </c>
      <c r="B4" s="1">
        <f t="shared" ref="B4:B62" si="0">DATE(YEAR(B3),MONTH(B3)+1,1)</f>
        <v>44986</v>
      </c>
    </row>
    <row r="5" spans="1:2" x14ac:dyDescent="0.3">
      <c r="A5">
        <v>3</v>
      </c>
      <c r="B5" s="1">
        <f t="shared" si="0"/>
        <v>45017</v>
      </c>
    </row>
    <row r="6" spans="1:2" x14ac:dyDescent="0.3">
      <c r="A6">
        <v>4</v>
      </c>
      <c r="B6" s="1">
        <f t="shared" si="0"/>
        <v>45047</v>
      </c>
    </row>
    <row r="7" spans="1:2" x14ac:dyDescent="0.3">
      <c r="A7">
        <v>5</v>
      </c>
      <c r="B7" s="1">
        <f t="shared" si="0"/>
        <v>45078</v>
      </c>
    </row>
    <row r="8" spans="1:2" x14ac:dyDescent="0.3">
      <c r="A8">
        <v>6</v>
      </c>
      <c r="B8" s="1">
        <f t="shared" si="0"/>
        <v>45108</v>
      </c>
    </row>
    <row r="9" spans="1:2" x14ac:dyDescent="0.3">
      <c r="A9">
        <v>7</v>
      </c>
      <c r="B9" s="1">
        <f t="shared" si="0"/>
        <v>45139</v>
      </c>
    </row>
    <row r="10" spans="1:2" x14ac:dyDescent="0.3">
      <c r="A10">
        <v>8</v>
      </c>
      <c r="B10" s="1">
        <f t="shared" si="0"/>
        <v>45170</v>
      </c>
    </row>
    <row r="11" spans="1:2" x14ac:dyDescent="0.3">
      <c r="A11">
        <v>9</v>
      </c>
      <c r="B11" s="1">
        <f t="shared" si="0"/>
        <v>45200</v>
      </c>
    </row>
    <row r="12" spans="1:2" x14ac:dyDescent="0.3">
      <c r="A12">
        <v>10</v>
      </c>
      <c r="B12" s="1">
        <f t="shared" si="0"/>
        <v>45231</v>
      </c>
    </row>
    <row r="13" spans="1:2" x14ac:dyDescent="0.3">
      <c r="A13">
        <v>11</v>
      </c>
      <c r="B13" s="1">
        <f t="shared" si="0"/>
        <v>45261</v>
      </c>
    </row>
    <row r="14" spans="1:2" x14ac:dyDescent="0.3">
      <c r="A14">
        <v>12</v>
      </c>
      <c r="B14" s="1">
        <f t="shared" si="0"/>
        <v>45292</v>
      </c>
    </row>
    <row r="15" spans="1:2" x14ac:dyDescent="0.3">
      <c r="A15">
        <v>13</v>
      </c>
      <c r="B15" s="1">
        <f t="shared" si="0"/>
        <v>45323</v>
      </c>
    </row>
    <row r="16" spans="1:2" x14ac:dyDescent="0.3">
      <c r="A16">
        <v>14</v>
      </c>
      <c r="B16" s="1">
        <f t="shared" si="0"/>
        <v>45352</v>
      </c>
    </row>
    <row r="17" spans="1:2" x14ac:dyDescent="0.3">
      <c r="A17">
        <v>15</v>
      </c>
      <c r="B17" s="1">
        <f t="shared" si="0"/>
        <v>45383</v>
      </c>
    </row>
    <row r="18" spans="1:2" x14ac:dyDescent="0.3">
      <c r="A18">
        <v>16</v>
      </c>
      <c r="B18" s="1">
        <f t="shared" si="0"/>
        <v>45413</v>
      </c>
    </row>
    <row r="19" spans="1:2" x14ac:dyDescent="0.3">
      <c r="A19">
        <v>17</v>
      </c>
      <c r="B19" s="1">
        <f t="shared" si="0"/>
        <v>45444</v>
      </c>
    </row>
    <row r="20" spans="1:2" x14ac:dyDescent="0.3">
      <c r="A20">
        <v>18</v>
      </c>
      <c r="B20" s="1">
        <f t="shared" si="0"/>
        <v>45474</v>
      </c>
    </row>
    <row r="21" spans="1:2" x14ac:dyDescent="0.3">
      <c r="A21">
        <v>19</v>
      </c>
      <c r="B21" s="1">
        <f t="shared" si="0"/>
        <v>45505</v>
      </c>
    </row>
    <row r="22" spans="1:2" x14ac:dyDescent="0.3">
      <c r="A22">
        <v>20</v>
      </c>
      <c r="B22" s="1">
        <f t="shared" si="0"/>
        <v>45536</v>
      </c>
    </row>
    <row r="23" spans="1:2" x14ac:dyDescent="0.3">
      <c r="A23">
        <v>21</v>
      </c>
      <c r="B23" s="1">
        <f t="shared" si="0"/>
        <v>45566</v>
      </c>
    </row>
    <row r="24" spans="1:2" x14ac:dyDescent="0.3">
      <c r="A24">
        <v>22</v>
      </c>
      <c r="B24" s="1">
        <f t="shared" si="0"/>
        <v>45597</v>
      </c>
    </row>
    <row r="25" spans="1:2" x14ac:dyDescent="0.3">
      <c r="A25">
        <v>23</v>
      </c>
      <c r="B25" s="1">
        <f t="shared" si="0"/>
        <v>45627</v>
      </c>
    </row>
    <row r="26" spans="1:2" x14ac:dyDescent="0.3">
      <c r="A26">
        <v>24</v>
      </c>
      <c r="B26" s="1">
        <f t="shared" si="0"/>
        <v>45658</v>
      </c>
    </row>
    <row r="27" spans="1:2" x14ac:dyDescent="0.3">
      <c r="A27">
        <v>25</v>
      </c>
      <c r="B27" s="1">
        <f t="shared" si="0"/>
        <v>45689</v>
      </c>
    </row>
    <row r="28" spans="1:2" x14ac:dyDescent="0.3">
      <c r="A28">
        <v>26</v>
      </c>
      <c r="B28" s="1">
        <f t="shared" si="0"/>
        <v>45717</v>
      </c>
    </row>
    <row r="29" spans="1:2" x14ac:dyDescent="0.3">
      <c r="A29">
        <v>27</v>
      </c>
      <c r="B29" s="1">
        <f t="shared" si="0"/>
        <v>45748</v>
      </c>
    </row>
    <row r="30" spans="1:2" x14ac:dyDescent="0.3">
      <c r="A30">
        <v>28</v>
      </c>
      <c r="B30" s="1">
        <f t="shared" si="0"/>
        <v>45778</v>
      </c>
    </row>
    <row r="31" spans="1:2" x14ac:dyDescent="0.3">
      <c r="A31">
        <v>29</v>
      </c>
      <c r="B31" s="1">
        <f t="shared" si="0"/>
        <v>45809</v>
      </c>
    </row>
    <row r="32" spans="1:2" x14ac:dyDescent="0.3">
      <c r="A32">
        <v>30</v>
      </c>
      <c r="B32" s="1">
        <f t="shared" si="0"/>
        <v>45839</v>
      </c>
    </row>
    <row r="33" spans="1:2" x14ac:dyDescent="0.3">
      <c r="A33">
        <v>31</v>
      </c>
      <c r="B33" s="1">
        <f t="shared" si="0"/>
        <v>45870</v>
      </c>
    </row>
    <row r="34" spans="1:2" x14ac:dyDescent="0.3">
      <c r="A34">
        <v>32</v>
      </c>
      <c r="B34" s="1">
        <f t="shared" si="0"/>
        <v>45901</v>
      </c>
    </row>
    <row r="35" spans="1:2" x14ac:dyDescent="0.3">
      <c r="A35">
        <v>33</v>
      </c>
      <c r="B35" s="1">
        <f t="shared" si="0"/>
        <v>45931</v>
      </c>
    </row>
    <row r="36" spans="1:2" x14ac:dyDescent="0.3">
      <c r="A36">
        <v>34</v>
      </c>
      <c r="B36" s="1">
        <f t="shared" si="0"/>
        <v>45962</v>
      </c>
    </row>
    <row r="37" spans="1:2" x14ac:dyDescent="0.3">
      <c r="A37">
        <v>35</v>
      </c>
      <c r="B37" s="1">
        <f t="shared" si="0"/>
        <v>45992</v>
      </c>
    </row>
    <row r="38" spans="1:2" x14ac:dyDescent="0.3">
      <c r="A38">
        <v>36</v>
      </c>
      <c r="B38" s="1">
        <f t="shared" si="0"/>
        <v>46023</v>
      </c>
    </row>
    <row r="39" spans="1:2" x14ac:dyDescent="0.3">
      <c r="A39">
        <v>37</v>
      </c>
      <c r="B39" s="1">
        <f t="shared" si="0"/>
        <v>46054</v>
      </c>
    </row>
    <row r="40" spans="1:2" x14ac:dyDescent="0.3">
      <c r="A40">
        <v>38</v>
      </c>
      <c r="B40" s="1">
        <f t="shared" si="0"/>
        <v>46082</v>
      </c>
    </row>
    <row r="41" spans="1:2" x14ac:dyDescent="0.3">
      <c r="A41">
        <v>39</v>
      </c>
      <c r="B41" s="1">
        <f t="shared" si="0"/>
        <v>46113</v>
      </c>
    </row>
    <row r="42" spans="1:2" x14ac:dyDescent="0.3">
      <c r="A42">
        <v>40</v>
      </c>
      <c r="B42" s="1">
        <f t="shared" si="0"/>
        <v>46143</v>
      </c>
    </row>
    <row r="43" spans="1:2" x14ac:dyDescent="0.3">
      <c r="A43">
        <v>41</v>
      </c>
      <c r="B43" s="1">
        <f t="shared" si="0"/>
        <v>46174</v>
      </c>
    </row>
    <row r="44" spans="1:2" x14ac:dyDescent="0.3">
      <c r="A44">
        <v>42</v>
      </c>
      <c r="B44" s="1">
        <f t="shared" si="0"/>
        <v>46204</v>
      </c>
    </row>
    <row r="45" spans="1:2" x14ac:dyDescent="0.3">
      <c r="A45">
        <v>43</v>
      </c>
      <c r="B45" s="1">
        <f t="shared" si="0"/>
        <v>46235</v>
      </c>
    </row>
    <row r="46" spans="1:2" x14ac:dyDescent="0.3">
      <c r="A46">
        <v>44</v>
      </c>
      <c r="B46" s="1">
        <f t="shared" si="0"/>
        <v>46266</v>
      </c>
    </row>
    <row r="47" spans="1:2" x14ac:dyDescent="0.3">
      <c r="A47">
        <v>45</v>
      </c>
      <c r="B47" s="1">
        <f t="shared" si="0"/>
        <v>46296</v>
      </c>
    </row>
    <row r="48" spans="1:2" x14ac:dyDescent="0.3">
      <c r="A48">
        <v>46</v>
      </c>
      <c r="B48" s="1">
        <f t="shared" si="0"/>
        <v>46327</v>
      </c>
    </row>
    <row r="49" spans="1:2" x14ac:dyDescent="0.3">
      <c r="A49">
        <v>47</v>
      </c>
      <c r="B49" s="1">
        <f t="shared" si="0"/>
        <v>46357</v>
      </c>
    </row>
    <row r="50" spans="1:2" x14ac:dyDescent="0.3">
      <c r="A50">
        <v>48</v>
      </c>
      <c r="B50" s="1">
        <f t="shared" si="0"/>
        <v>46388</v>
      </c>
    </row>
    <row r="51" spans="1:2" x14ac:dyDescent="0.3">
      <c r="A51">
        <v>49</v>
      </c>
      <c r="B51" s="1">
        <f t="shared" si="0"/>
        <v>46419</v>
      </c>
    </row>
    <row r="52" spans="1:2" x14ac:dyDescent="0.3">
      <c r="A52">
        <v>50</v>
      </c>
      <c r="B52" s="1">
        <f t="shared" si="0"/>
        <v>46447</v>
      </c>
    </row>
    <row r="53" spans="1:2" x14ac:dyDescent="0.3">
      <c r="A53">
        <v>51</v>
      </c>
      <c r="B53" s="1">
        <f t="shared" si="0"/>
        <v>46478</v>
      </c>
    </row>
    <row r="54" spans="1:2" x14ac:dyDescent="0.3">
      <c r="A54">
        <v>52</v>
      </c>
      <c r="B54" s="1">
        <f t="shared" si="0"/>
        <v>46508</v>
      </c>
    </row>
    <row r="55" spans="1:2" x14ac:dyDescent="0.3">
      <c r="A55">
        <v>53</v>
      </c>
      <c r="B55" s="1">
        <f t="shared" si="0"/>
        <v>46539</v>
      </c>
    </row>
    <row r="56" spans="1:2" x14ac:dyDescent="0.3">
      <c r="A56">
        <v>54</v>
      </c>
      <c r="B56" s="1">
        <f t="shared" si="0"/>
        <v>46569</v>
      </c>
    </row>
    <row r="57" spans="1:2" x14ac:dyDescent="0.3">
      <c r="A57">
        <v>55</v>
      </c>
      <c r="B57" s="1">
        <f t="shared" si="0"/>
        <v>46600</v>
      </c>
    </row>
    <row r="58" spans="1:2" x14ac:dyDescent="0.3">
      <c r="A58">
        <v>56</v>
      </c>
      <c r="B58" s="1">
        <f t="shared" si="0"/>
        <v>46631</v>
      </c>
    </row>
    <row r="59" spans="1:2" x14ac:dyDescent="0.3">
      <c r="A59">
        <v>57</v>
      </c>
      <c r="B59" s="1">
        <f t="shared" si="0"/>
        <v>46661</v>
      </c>
    </row>
    <row r="60" spans="1:2" x14ac:dyDescent="0.3">
      <c r="A60">
        <v>58</v>
      </c>
      <c r="B60" s="1">
        <f t="shared" si="0"/>
        <v>46692</v>
      </c>
    </row>
    <row r="61" spans="1:2" x14ac:dyDescent="0.3">
      <c r="A61">
        <v>59</v>
      </c>
      <c r="B61" s="1">
        <f t="shared" si="0"/>
        <v>46722</v>
      </c>
    </row>
    <row r="62" spans="1:2" x14ac:dyDescent="0.3">
      <c r="A62">
        <v>60</v>
      </c>
      <c r="B62" s="1">
        <f t="shared" si="0"/>
        <v>46753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rates</vt:lpstr>
      <vt:lpstr>dates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Ozan Eryavuz</dc:creator>
  <cp:lastModifiedBy>Ozan Eryavuz</cp:lastModifiedBy>
  <dcterms:created xsi:type="dcterms:W3CDTF">2023-10-03T06:49:31Z</dcterms:created>
  <dcterms:modified xsi:type="dcterms:W3CDTF">2023-10-04T15:16:44Z</dcterms:modified>
</cp:coreProperties>
</file>